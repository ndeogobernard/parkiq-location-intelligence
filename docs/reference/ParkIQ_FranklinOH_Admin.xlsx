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Parameters" sheetId="2" state="visible" r:id="rId4"/>
    <sheet name="Source_Register" sheetId="3" state="visible" r:id="rId5"/>
    <sheet name="Decision_Log" sheetId="4" state="visible" r:id="rId6"/>
    <sheet name="QA_Log" sheetId="5" state="visible" r:id="rId7"/>
  </sheets>
  <definedNames>
    <definedName function="false" hidden="true" localSheetId="3" name="_xlnm._FilterDatabase" vbProcedure="false">Decision_Log!$A$1:$I$16</definedName>
    <definedName function="false" hidden="true" localSheetId="1" name="_xlnm._FilterDatabase" vbProcedure="false">Parameters!$A$1:$H$62</definedName>
    <definedName function="false" hidden="true" localSheetId="4" name="_xlnm._FilterDatabase" vbProcedure="false">QA_Log!$A$1:$I$14</definedName>
    <definedName function="false" hidden="true" localSheetId="2" name="_xlnm._FilterDatabase" vbProcedure="false">Source_Register!$A$1:$L$21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<sst xmlns="http://schemas.openxmlformats.org/spreadsheetml/2006/main" count="775" uniqueCount="432">
  <si>
    <t xml:space="preserve">ParkIQ — Franklin County, OH (pilot market) — Project admin workbook</t>
  </si>
  <si>
    <t xml:space="preserve">Market slug: franklin_oh  |  Boundary: Franklin County, GEOID 39049  |  Analysis CRS: EPSG:3735 NAD83 / Ohio South (ftUS)</t>
  </si>
  <si>
    <t xml:space="preserve">HOW TO USE</t>
  </si>
  <si>
    <t xml:space="preserve">Parameters: blue text = value you may edit. Yellow fill = BLANK you must decide before the phase that needs it.</t>
  </si>
  <si>
    <t xml:space="preserve">Status column: SCOPE = value copied from SCOPE.md (still a placeholder); VERIFY = must be confirmed with a source; SET = you confirmed it (add citation); DECIDE = blank.</t>
  </si>
  <si>
    <t xml:space="preserve">Source_Register: one row per dataset you download. Fill vintage, download_date, native_crs when you download.</t>
  </si>
  <si>
    <t xml:space="preserve">Decision_Log: record every method choice before you apply it. Status: Proposed -&gt; Accepted / Changed.</t>
  </si>
  <si>
    <t xml:space="preserve">QA_Log: one row per check in SCOPE §10 / methodology §16.</t>
  </si>
  <si>
    <t xml:space="preserve">OPEN ITEMS (live counts)</t>
  </si>
  <si>
    <t xml:space="preserve">Parameters still DECIDE (blank)</t>
  </si>
  <si>
    <t xml:space="preserve">Parameters still VERIFY or SCOPE</t>
  </si>
  <si>
    <t xml:space="preserve">Sources not yet downloaded</t>
  </si>
  <si>
    <t xml:space="preserve">Decisions still Proposed</t>
  </si>
  <si>
    <t xml:space="preserve">group</t>
  </si>
  <si>
    <t xml:space="preserve">parameter</t>
  </si>
  <si>
    <t xml:space="preserve">value</t>
  </si>
  <si>
    <t xml:space="preserve">unit</t>
  </si>
  <si>
    <t xml:space="preserve">phase</t>
  </si>
  <si>
    <t xml:space="preserve">status</t>
  </si>
  <si>
    <t xml:space="preserve">source / citation</t>
  </si>
  <si>
    <t xml:space="preserve">notes</t>
  </si>
  <si>
    <t xml:space="preserve">Market</t>
  </si>
  <si>
    <t xml:space="preserve">boundary</t>
  </si>
  <si>
    <t xml:space="preserve">Franklin County, OH (GEOID 39049)</t>
  </si>
  <si>
    <t xml:space="preserve">A</t>
  </si>
  <si>
    <t xml:space="preserve">SET</t>
  </si>
  <si>
    <t xml:space="preserve">User instruction (pilot market)</t>
  </si>
  <si>
    <t xml:space="preserve">Market boundary; study area = +1 mile buffer</t>
  </si>
  <si>
    <t xml:space="preserve">analysis_crs</t>
  </si>
  <si>
    <t xml:space="preserve">EPSG:3735</t>
  </si>
  <si>
    <t xml:space="preserve">NAD83 / Ohio South (ftUS)</t>
  </si>
  <si>
    <t xml:space="preserve">Matches Franklin County Auditor parcel service (WKID 102723 = 3735)</t>
  </si>
  <si>
    <t xml:space="preserve">Units = US survey feet</t>
  </si>
  <si>
    <t xml:space="preserve">h3_resolution</t>
  </si>
  <si>
    <t xml:space="preserve">SCOPE</t>
  </si>
  <si>
    <t xml:space="preserve">SCOPE §2.2 [DECISION]</t>
  </si>
  <si>
    <t xml:space="preserve">~0.105 km2 avg hex area</t>
  </si>
  <si>
    <t xml:space="preserve">focus_submarkets</t>
  </si>
  <si>
    <t xml:space="preserve">list</t>
  </si>
  <si>
    <t xml:space="preserve">A2</t>
  </si>
  <si>
    <t xml:space="preserve">DECIDE</t>
  </si>
  <si>
    <t xml:space="preserve">Chosen after the Session 2 county-wide demand scan</t>
  </si>
  <si>
    <t xml:space="preserve">Site</t>
  </si>
  <si>
    <t xml:space="preserve">min_parcel_sqft</t>
  </si>
  <si>
    <t xml:space="preserve">sqft</t>
  </si>
  <si>
    <t xml:space="preserve">E</t>
  </si>
  <si>
    <t xml:space="preserve">SCOPE §2.1</t>
  </si>
  <si>
    <t xml:space="preserve">At defaults yields ~39 stalls (&lt;50). See Decision D-10</t>
  </si>
  <si>
    <t xml:space="preserve">max_parcel_sqft</t>
  </si>
  <si>
    <t xml:space="preserve">At defaults yields ~518 stalls (&gt;300)</t>
  </si>
  <si>
    <t xml:space="preserve">target_stalls_min</t>
  </si>
  <si>
    <t xml:space="preserve">stalls</t>
  </si>
  <si>
    <t xml:space="preserve">SCOPE §1.1</t>
  </si>
  <si>
    <t xml:space="preserve">target_stalls_max</t>
  </si>
  <si>
    <t xml:space="preserve">stall_area_sqft_gross</t>
  </si>
  <si>
    <t xml:space="preserve">sqft/stall</t>
  </si>
  <si>
    <t xml:space="preserve">C,E,H</t>
  </si>
  <si>
    <t xml:space="preserve">SCOPE §2.1 [PARAMETER] (300–350 typical per scope)</t>
  </si>
  <si>
    <t xml:space="preserve">layout_efficiency</t>
  </si>
  <si>
    <t xml:space="preserve">fraction</t>
  </si>
  <si>
    <t xml:space="preserve">setback_landscape_pct</t>
  </si>
  <si>
    <t xml:space="preserve">E,H</t>
  </si>
  <si>
    <t xml:space="preserve">Check Columbus parking-lot landscaping/screening rules (CC 3312)</t>
  </si>
  <si>
    <t xml:space="preserve">max_slope_pct</t>
  </si>
  <si>
    <t xml:space="preserve">percent</t>
  </si>
  <si>
    <t xml:space="preserve">min_frontage_ft</t>
  </si>
  <si>
    <t xml:space="preserve">ft</t>
  </si>
  <si>
    <t xml:space="preserve">min_shape_index</t>
  </si>
  <si>
    <t xml:space="preserve">ratio</t>
  </si>
  <si>
    <t xml:space="preserve">Metric = rectangularity (Decision D-09)</t>
  </si>
  <si>
    <t xml:space="preserve">improvement_ratio_max</t>
  </si>
  <si>
    <t xml:space="preserve">SCOPE §5.5</t>
  </si>
  <si>
    <t xml:space="preserve">frontage_buffer_ft</t>
  </si>
  <si>
    <t xml:space="preserve">Demand</t>
  </si>
  <si>
    <t xml:space="preserve">walk_shed_minutes</t>
  </si>
  <si>
    <t xml:space="preserve">3, 5, 8</t>
  </si>
  <si>
    <t xml:space="preserve">min</t>
  </si>
  <si>
    <t xml:space="preserve">B,F</t>
  </si>
  <si>
    <t xml:space="preserve">decay_weight_3min</t>
  </si>
  <si>
    <t xml:space="preserve">B,C</t>
  </si>
  <si>
    <t xml:space="preserve">SCOPE §5.2</t>
  </si>
  <si>
    <t xml:space="preserve">decay_weight_5min</t>
  </si>
  <si>
    <t xml:space="preserve">decay_weight_8min</t>
  </si>
  <si>
    <t xml:space="preserve">walking_speed_m_s</t>
  </si>
  <si>
    <t xml:space="preserve">m/s</t>
  </si>
  <si>
    <t xml:space="preserve">VERIFY</t>
  </si>
  <si>
    <t xml:space="preserve">SCOPE §5.1 [PARAMETER]; needs citation</t>
  </si>
  <si>
    <t xml:space="preserve">Equals 255.9 ft/min</t>
  </si>
  <si>
    <t xml:space="preserve">transit_radius_m</t>
  </si>
  <si>
    <t xml:space="preserve">m</t>
  </si>
  <si>
    <t xml:space="preserve">B</t>
  </si>
  <si>
    <t xml:space="preserve">transit_demand_factor</t>
  </si>
  <si>
    <t xml:space="preserve">high_freq_headway_max_min</t>
  </si>
  <si>
    <t xml:space="preserve">rate_source_baseline_drive_share</t>
  </si>
  <si>
    <t xml:space="preserve">Needed for mode adjustment (Decision D-06)</t>
  </si>
  <si>
    <t xml:space="preserve">residential_offstreet_share</t>
  </si>
  <si>
    <t xml:space="preserve">Or exclude residential demand (Decision D-07)</t>
  </si>
  <si>
    <t xml:space="preserve">rate_office_per_employee</t>
  </si>
  <si>
    <t xml:space="preserve">0.80 / 0.05 / 0.05 / 0.02 / 0.00</t>
  </si>
  <si>
    <t xml:space="preserve">wd_day/wd_eve/we_day/we_eve/event</t>
  </si>
  <si>
    <t xml:space="preserve">SCOPE App. C: 'ITE PG 6th ed. LU 701' [VERIFY]</t>
  </si>
  <si>
    <t xml:space="preserve">rate_medical_per_bed</t>
  </si>
  <si>
    <t xml:space="preserve">2.50 / 0.80 / 0.90 / 0.50 / 0.00</t>
  </si>
  <si>
    <t xml:space="preserve">same</t>
  </si>
  <si>
    <t xml:space="preserve">SCOPE App. C [VERIFY]</t>
  </si>
  <si>
    <t xml:space="preserve">rate_university_per_student</t>
  </si>
  <si>
    <t xml:space="preserve">0.25 / 0.10 / 0.05 / 0.05 / 0.00</t>
  </si>
  <si>
    <t xml:space="preserve">rate_hotel_per_room</t>
  </si>
  <si>
    <t xml:space="preserve">0.40 / 1.00 / 0.50 / 1.10 / 0.00</t>
  </si>
  <si>
    <t xml:space="preserve">rate_restaurant_bar_per_ksf</t>
  </si>
  <si>
    <t xml:space="preserve">6.0 / 14.0 / 8.0 / 16.0 / 0.00</t>
  </si>
  <si>
    <t xml:space="preserve">rate_retail_per_ksf</t>
  </si>
  <si>
    <t xml:space="preserve">2.5 / 2.0 / 3.5 / 2.5 / 0.00</t>
  </si>
  <si>
    <t xml:space="preserve">rate_venue_per_seat_event</t>
  </si>
  <si>
    <t xml:space="preserve">stalls/seat</t>
  </si>
  <si>
    <t xml:space="preserve">SCOPE App. C: 0.85 drive share / 2.6 persons per car [VERIFY]</t>
  </si>
  <si>
    <t xml:space="preserve">rate_residential_per_unit</t>
  </si>
  <si>
    <t xml:space="preserve">0.30 / 0.90 / 0.80 / 0.95 / 0.00</t>
  </si>
  <si>
    <t xml:space="preserve">Supply</t>
  </si>
  <si>
    <t xml:space="preserve">private_effective_share</t>
  </si>
  <si>
    <t xml:space="preserve">C</t>
  </si>
  <si>
    <t xml:space="preserve">onstreet_stall_length_ft</t>
  </si>
  <si>
    <t xml:space="preserve">Columbus meter layer may make this unnecessary downtown</t>
  </si>
  <si>
    <t xml:space="preserve">dedupe_distance_m</t>
  </si>
  <si>
    <t xml:space="preserve">SCOPE §5.3</t>
  </si>
  <si>
    <t xml:space="preserve">Finance</t>
  </si>
  <si>
    <t xml:space="preserve">assessed_to_market_ratio</t>
  </si>
  <si>
    <t xml:space="preserve">H</t>
  </si>
  <si>
    <t xml:space="preserve">SCOPE §2.1; calibrate from Franklin land listings</t>
  </si>
  <si>
    <t xml:space="preserve">construction_cost_per_stall_usd</t>
  </si>
  <si>
    <t xml:space="preserve">USD</t>
  </si>
  <si>
    <t xml:space="preserve">SCOPE §2.1 [VERIFY regional]</t>
  </si>
  <si>
    <t xml:space="preserve">Get a Columbus-area paving contractor quote</t>
  </si>
  <si>
    <t xml:space="preserve">soft_cost_pct</t>
  </si>
  <si>
    <t xml:space="preserve">Base = hard cost (Decision D-13)</t>
  </si>
  <si>
    <t xml:space="preserve">opex_per_stall_year_usd</t>
  </si>
  <si>
    <t xml:space="preserve">tech_fee_pct_revenue</t>
  </si>
  <si>
    <t xml:space="preserve">mgmt_fee_pct_revenue</t>
  </si>
  <si>
    <t xml:space="preserve">property_tax_rate</t>
  </si>
  <si>
    <t xml:space="preserve">Replace with Franklin County effective commercial rate by taxing district (Auditor)</t>
  </si>
  <si>
    <t xml:space="preserve">new_entrant_rate_discount</t>
  </si>
  <si>
    <t xml:space="preserve">occupancy_caps</t>
  </si>
  <si>
    <t xml:space="preserve">0.85 / 0.60 / 0.40 / 0.70 / 0.90</t>
  </si>
  <si>
    <t xml:space="preserve">occupancy_curve_breakpoints</t>
  </si>
  <si>
    <t xml:space="preserve">(x,y) pairs</t>
  </si>
  <si>
    <t xml:space="preserve">Calibrate in Phase K</t>
  </si>
  <si>
    <t xml:space="preserve">capture_share</t>
  </si>
  <si>
    <t xml:space="preserve">billing_basis_and_units_by_daypart</t>
  </si>
  <si>
    <t xml:space="preserve">operating_days_by_daypart</t>
  </si>
  <si>
    <t xml:space="preserve">days/yr</t>
  </si>
  <si>
    <t xml:space="preserve">event_weekday_share</t>
  </si>
  <si>
    <t xml:space="preserve">permit_share / office_heavy_threshold</t>
  </si>
  <si>
    <t xml:space="preserve">revenue_growth / opex_growth</t>
  </si>
  <si>
    <t xml:space="preserve">%/yr</t>
  </si>
  <si>
    <t xml:space="preserve">exit_cap_rate / selling_cost_pct</t>
  </si>
  <si>
    <t xml:space="preserve">ground_lease_rent_pct / escalator / term</t>
  </si>
  <si>
    <t xml:space="preserve">target_cap_rate</t>
  </si>
  <si>
    <t xml:space="preserve">hold_years</t>
  </si>
  <si>
    <t xml:space="preserve">years</t>
  </si>
  <si>
    <t xml:space="preserve">discount_rate</t>
  </si>
  <si>
    <t xml:space="preserve">Ranking</t>
  </si>
  <si>
    <t xml:space="preserve">financial_weight</t>
  </si>
  <si>
    <t xml:space="preserve">I</t>
  </si>
  <si>
    <t xml:space="preserve">SCOPE §5.8</t>
  </si>
  <si>
    <t xml:space="preserve">suitability_weight</t>
  </si>
  <si>
    <t xml:space="preserve">shortlist_size</t>
  </si>
  <si>
    <t xml:space="preserve">sites</t>
  </si>
  <si>
    <t xml:space="preserve">SCOPE says 5–10</t>
  </si>
  <si>
    <t xml:space="preserve">source_id</t>
  </si>
  <si>
    <t xml:space="preserve">provider</t>
  </si>
  <si>
    <t xml:space="preserve">dataset</t>
  </si>
  <si>
    <t xml:space="preserve">url / endpoint</t>
  </si>
  <si>
    <t xml:space="preserve">vintage</t>
  </si>
  <si>
    <t xml:space="preserve">download_date</t>
  </si>
  <si>
    <t xml:space="preserve">license</t>
  </si>
  <si>
    <t xml:space="preserve">native_crs</t>
  </si>
  <si>
    <t xml:space="preserve">transformation</t>
  </si>
  <si>
    <t xml:space="preserve">planned session</t>
  </si>
  <si>
    <t xml:space="preserve">S00</t>
  </si>
  <si>
    <t xml:space="preserve">US Census Bureau</t>
  </si>
  <si>
    <t xml:space="preserve">TIGER/Line Counties (latest year)</t>
  </si>
  <si>
    <t xml:space="preserve">https://www.census.gov/geographies/mapping-files/time-series/geo/tiger-line-file.html</t>
  </si>
  <si>
    <t xml:space="preserve">Public domain</t>
  </si>
  <si>
    <t xml:space="preserve">EPSG:4269</t>
  </si>
  <si>
    <t xml:space="preserve">NAD83 -&gt; 3735 (same datum, no transformation)</t>
  </si>
  <si>
    <t xml:space="preserve">Filter GEOID = 39049</t>
  </si>
  <si>
    <t xml:space="preserve">Session 1</t>
  </si>
  <si>
    <t xml:space="preserve">To download</t>
  </si>
  <si>
    <t xml:space="preserve">S01</t>
  </si>
  <si>
    <t xml:space="preserve">Franklin County Auditor</t>
  </si>
  <si>
    <t xml:space="preserve">Parcel polygons (open data portal)</t>
  </si>
  <si>
    <t xml:space="preserve">https://auditor-fca.opendata.arcgis.com/</t>
  </si>
  <si>
    <t xml:space="preserve">Public domain per portal</t>
  </si>
  <si>
    <t xml:space="preserve">none</t>
  </si>
  <si>
    <t xml:space="preserve">Replaces Regrid for this market (free). Values/land use may be in separate CAMA tables (Data Library / FTP)</t>
  </si>
  <si>
    <t xml:space="preserve">S01b</t>
  </si>
  <si>
    <t xml:space="preserve">Appraisal/CAMA attributes (land value, building value, land use code)</t>
  </si>
  <si>
    <t xml:space="preserve">https://franklincountyauditor.com/ftp</t>
  </si>
  <si>
    <t xml:space="preserve">Public domain per portal [VERIFY]</t>
  </si>
  <si>
    <t xml:space="preserve">table</t>
  </si>
  <si>
    <t xml:space="preserve">Confirm which file carries land/improvement values + land use code; join on parcel ID</t>
  </si>
  <si>
    <t xml:space="preserve">S23</t>
  </si>
  <si>
    <t xml:space="preserve">City of Columbus</t>
  </si>
  <si>
    <t xml:space="preserve">Base Zoning Districts</t>
  </si>
  <si>
    <t xml:space="preserve">https://opendata.columbus.gov/datasets/96f7642a62f84db997f9e1db4a776995</t>
  </si>
  <si>
    <t xml:space="preserve">Open data, 'AS IS' terms</t>
  </si>
  <si>
    <t xml:space="preserve">[fill]</t>
  </si>
  <si>
    <t xml:space="preserve">Columbus has legacy Title 33 + Zone In Title 34 districts; downtown design-guideline zones A/B matter (see Decision D-15). Suburbs (Dublin, Upper Arlington, etc.) have their own zoning</t>
  </si>
  <si>
    <t xml:space="preserve">Session 3</t>
  </si>
  <si>
    <t xml:space="preserve">S20</t>
  </si>
  <si>
    <t xml:space="preserve">Parking Meters (hourly rate, hours, max time)</t>
  </si>
  <si>
    <t xml:space="preserve">https://opendata.columbus.gov/datasets/parking-meters/about</t>
  </si>
  <si>
    <t xml:space="preserve">On-street supply + rate signal. Check dataset currency (portal item dates back to 2017)</t>
  </si>
  <si>
    <t xml:space="preserve">Session 4</t>
  </si>
  <si>
    <t xml:space="preserve">S13</t>
  </si>
  <si>
    <t xml:space="preserve">Ohio DOT</t>
  </si>
  <si>
    <t xml:space="preserve">Traffic count stations / AADT segments (TIMS / TMMS)</t>
  </si>
  <si>
    <t xml:space="preserve">https://tims.dot.state.oh.us/ags/rest/services/Roadway_Information/Traffic_Count_Stations/MapServer</t>
  </si>
  <si>
    <t xml:space="preserve">Public information per ODOT metadata</t>
  </si>
  <si>
    <t xml:space="preserve">C08 access/visibility</t>
  </si>
  <si>
    <t xml:space="preserve">Session 5</t>
  </si>
  <si>
    <t xml:space="preserve">S09</t>
  </si>
  <si>
    <t xml:space="preserve">COTA</t>
  </si>
  <si>
    <t xml:space="preserve">GTFS schedule feed</t>
  </si>
  <si>
    <t xml:space="preserve">https://mobilitydatabase.org/feeds/gtfs/tfs-216 (old entry points to replacement feed) or cota.com</t>
  </si>
  <si>
    <t xml:space="preserve">[VERIFY]</t>
  </si>
  <si>
    <t xml:space="preserve">WGS84</t>
  </si>
  <si>
    <t xml:space="preserve">Use the current producer URL shown in Mobility Database</t>
  </si>
  <si>
    <t xml:space="preserve">S04</t>
  </si>
  <si>
    <t xml:space="preserve">US Census Bureau LEHD</t>
  </si>
  <si>
    <t xml:space="preserve">LODES WAC, Ohio, JT00, latest year</t>
  </si>
  <si>
    <t xml:space="preserve">https://lehd.ces.census.gov/data/</t>
  </si>
  <si>
    <t xml:space="preserve">blocks (join to TIGER blocks)</t>
  </si>
  <si>
    <t xml:space="preserve">Also download OH TIGER blocks for geometry</t>
  </si>
  <si>
    <t xml:space="preserve">Session 2</t>
  </si>
  <si>
    <t xml:space="preserve">S05</t>
  </si>
  <si>
    <t xml:space="preserve">ACS 5-yr block groups: B08301, B25044, B25024 [VERIFY table IDs]</t>
  </si>
  <si>
    <t xml:space="preserve">https://data.census.gov/</t>
  </si>
  <si>
    <t xml:space="preserve">S02/S03/S06</t>
  </si>
  <si>
    <t xml:space="preserve">Overture Maps Foundation</t>
  </si>
  <si>
    <t xml:space="preserve">Buildings, Places (latest release)</t>
  </si>
  <si>
    <t xml:space="preserve">https://overturemaps.org/</t>
  </si>
  <si>
    <t xml:space="preserve">ODbL / CDLA per theme [VERIFY]</t>
  </si>
  <si>
    <t xml:space="preserve">EPSG:4326</t>
  </si>
  <si>
    <t xml:space="preserve">S03/S06/S08</t>
  </si>
  <si>
    <t xml:space="preserve">OpenStreetMap</t>
  </si>
  <si>
    <t xml:space="preserve">Ohio extract (streets, POIs, amenity=parking)</t>
  </si>
  <si>
    <t xml:space="preserve">https://download.geofabrik.de/north-america/us/ohio.html</t>
  </si>
  <si>
    <t xml:space="preserve">ODbL</t>
  </si>
  <si>
    <t xml:space="preserve">S12a</t>
  </si>
  <si>
    <t xml:space="preserve">HIFLD / CMS</t>
  </si>
  <si>
    <t xml:space="preserve">Hospitals with beds</t>
  </si>
  <si>
    <t xml:space="preserve">[VERIFY current source]</t>
  </si>
  <si>
    <t xml:space="preserve">OSU Wexner, Grant, Riverside, Mount Carmel, Nationwide Children's etc.</t>
  </si>
  <si>
    <t xml:space="preserve">S12b</t>
  </si>
  <si>
    <t xml:space="preserve">NCES</t>
  </si>
  <si>
    <t xml:space="preserve">IPEDS institutions + enrollment</t>
  </si>
  <si>
    <t xml:space="preserve">https://nces.ed.gov/ipeds/</t>
  </si>
  <si>
    <t xml:space="preserve">lat/lon</t>
  </si>
  <si>
    <t xml:space="preserve">Ohio State main campus dominates; also Columbus State, CCAD, Capital, Franklin Univ.</t>
  </si>
  <si>
    <t xml:space="preserve">S10</t>
  </si>
  <si>
    <t xml:space="preserve">Venues / Ticketmaster</t>
  </si>
  <si>
    <t xml:space="preserve">Venue seats + events per year</t>
  </si>
  <si>
    <t xml:space="preserve">venue websites; Ticketmaster Discovery API [VERIFY terms]</t>
  </si>
  <si>
    <t xml:space="preserve">Nationwide Arena, Lower.com Field, Ohio Stadium, Schottenstein Center, Convention Center, KEMBA Live!, Ohio Theatre, Huntington Park</t>
  </si>
  <si>
    <t xml:space="preserve">S14</t>
  </si>
  <si>
    <t xml:space="preserve">FEMA</t>
  </si>
  <si>
    <t xml:space="preserve">NFHL flood hazard areas, Franklin County</t>
  </si>
  <si>
    <t xml:space="preserve">https://msc.fema.gov/portal/</t>
  </si>
  <si>
    <t xml:space="preserve">Scioto &amp; Olentangy floodways run through the core</t>
  </si>
  <si>
    <t xml:space="preserve">S15</t>
  </si>
  <si>
    <t xml:space="preserve">US EPA</t>
  </si>
  <si>
    <t xml:space="preserve">FRS + ACRES / Cleanups in My Community</t>
  </si>
  <si>
    <t xml:space="preserve">https://www.epa.gov/frs</t>
  </si>
  <si>
    <t xml:space="preserve">S18</t>
  </si>
  <si>
    <t xml:space="preserve">USGS</t>
  </si>
  <si>
    <t xml:space="preserve">3DEP 1/3 arc-second DEM</t>
  </si>
  <si>
    <t xml:space="preserve">https://apps.nationalmap.gov/downloader/</t>
  </si>
  <si>
    <t xml:space="preserve">S22</t>
  </si>
  <si>
    <t xml:space="preserve">Building permits / planned development</t>
  </si>
  <si>
    <t xml:space="preserve">https://opendata.columbus.gov/</t>
  </si>
  <si>
    <t xml:space="preserve">Open data</t>
  </si>
  <si>
    <t xml:space="preserve">Pipeline risk (C10)</t>
  </si>
  <si>
    <t xml:space="preserve">S24</t>
  </si>
  <si>
    <t xml:space="preserve">Downtown parking study (2023–24) and Parking Impact Studies</t>
  </si>
  <si>
    <t xml:space="preserve">https://www.columbus.gov/ (Mobility &amp; Parking Services)</t>
  </si>
  <si>
    <t xml:space="preserve">PDF</t>
  </si>
  <si>
    <t xml:space="preserve">Use for demand QA (±25%) and supply calibration</t>
  </si>
  <si>
    <t xml:space="preserve">To find</t>
  </si>
  <si>
    <t xml:space="preserve">S07</t>
  </si>
  <si>
    <t xml:space="preserve">Field survey (analyst)</t>
  </si>
  <si>
    <t xml:space="preserve">Posted rates at off-street lots/garages</t>
  </si>
  <si>
    <t xml:space="preserve">own observations</t>
  </si>
  <si>
    <t xml:space="preserve">Own data</t>
  </si>
  <si>
    <t xml:space="preserve">Replaces app listings unless licensed. Template in methodology App. E</t>
  </si>
  <si>
    <t xml:space="preserve">To collect</t>
  </si>
  <si>
    <t xml:space="preserve">id</t>
  </si>
  <si>
    <t xml:space="preserve">date</t>
  </si>
  <si>
    <t xml:space="preserve">question</t>
  </si>
  <si>
    <t xml:space="preserve">options considered</t>
  </si>
  <si>
    <t xml:space="preserve">choice</t>
  </si>
  <si>
    <t xml:space="preserve">rationale</t>
  </si>
  <si>
    <t xml:space="preserve">impact</t>
  </si>
  <si>
    <t xml:space="preserve">D-01</t>
  </si>
  <si>
    <t xml:space="preserve">2026-09-24</t>
  </si>
  <si>
    <t xml:space="preserve">Pilot market</t>
  </si>
  <si>
    <t xml:space="preserve">—</t>
  </si>
  <si>
    <t xml:space="preserve">Franklin County, OH</t>
  </si>
  <si>
    <t xml:space="preserve">User decision</t>
  </si>
  <si>
    <t xml:space="preserve">All phases</t>
  </si>
  <si>
    <t xml:space="preserve">Accepted</t>
  </si>
  <si>
    <t xml:space="preserve">D-02</t>
  </si>
  <si>
    <t xml:space="preserve">Analysis CRS</t>
  </si>
  <si>
    <t xml:space="preserve">EPSG:3735 vs 3753/6549 (HARN/2011) vs UTM 17N</t>
  </si>
  <si>
    <t xml:space="preserve">EPSG:3735 NAD83 Ohio South ftUS</t>
  </si>
  <si>
    <t xml:space="preserve">Matches Auditor parcel service; no reprojection of the largest layer</t>
  </si>
  <si>
    <t xml:space="preserve">All</t>
  </si>
  <si>
    <t xml:space="preserve">Proposed</t>
  </si>
  <si>
    <t xml:space="preserve">D-03</t>
  </si>
  <si>
    <t xml:space="preserve">Study extent strategy</t>
  </si>
  <si>
    <t xml:space="preserve">Full county at full detail; fixed downtown; two-stage</t>
  </si>
  <si>
    <t xml:space="preserve">Two-stage: county-wide demand scan (Session 2), then full network method in 1–3 focus submarkets chosen from the scan</t>
  </si>
  <si>
    <t xml:space="preserve">Manual network work scales poorly to 1,400 km2; choice stays data-driven</t>
  </si>
  <si>
    <t xml:space="preserve">B–J</t>
  </si>
  <si>
    <t xml:space="preserve">D-04</t>
  </si>
  <si>
    <t xml:space="preserve">Grid</t>
  </si>
  <si>
    <t xml:space="preserve">H3 r9 vs equal-area hexes</t>
  </si>
  <si>
    <t xml:space="preserve">H3 r9 via Generate Tessellation (Pro 3.1+)</t>
  </si>
  <si>
    <t xml:space="preserve">SCOPE §2.2</t>
  </si>
  <si>
    <t xml:space="preserve">D-05</t>
  </si>
  <si>
    <t xml:space="preserve">Network backend</t>
  </si>
  <si>
    <t xml:space="preserve">Network Analyst vs QGIS/QNEAT3</t>
  </si>
  <si>
    <t xml:space="preserve">[your choice]</t>
  </si>
  <si>
    <t xml:space="preserve">Depends on your Network Analyst license</t>
  </si>
  <si>
    <t xml:space="preserve">B,C,F</t>
  </si>
  <si>
    <t xml:space="preserve">D-06</t>
  </si>
  <si>
    <t xml:space="preserve">Mode-share adjustment</t>
  </si>
  <si>
    <t xml:space="preserve">raw ACS drive share; relative to rate baseline; none</t>
  </si>
  <si>
    <t xml:space="preserve">Relative: local / baseline drive share</t>
  </si>
  <si>
    <t xml:space="preserve">Avoids double-discounting observed-vehicle rates</t>
  </si>
  <si>
    <t xml:space="preserve">D-07</t>
  </si>
  <si>
    <t xml:space="preserve">Residential demand</t>
  </si>
  <si>
    <t xml:space="preserve">offstreet_share parameter vs exclude</t>
  </si>
  <si>
    <t xml:space="preserve">[decide]</t>
  </si>
  <si>
    <t xml:space="preserve">ACS has no direct measure</t>
  </si>
  <si>
    <t xml:space="preserve">D-08</t>
  </si>
  <si>
    <t xml:space="preserve">Allocation normalization</t>
  </si>
  <si>
    <t xml:space="preserve">conserving vs accessibility-style</t>
  </si>
  <si>
    <t xml:space="preserve">Demand/supply conserving (weights / sum of weights per origin)</t>
  </si>
  <si>
    <t xml:space="preserve">Gap must be in stall units</t>
  </si>
  <si>
    <t xml:space="preserve">D-09</t>
  </si>
  <si>
    <t xml:space="preserve">Shape index metric</t>
  </si>
  <si>
    <t xml:space="preserve">rectangularity vs Polsby-Popper</t>
  </si>
  <si>
    <t xml:space="preserve">Rectangularity = area / min-area bounding rectangle</t>
  </si>
  <si>
    <t xml:space="preserve">Tracks stall-layout efficiency</t>
  </si>
  <si>
    <t xml:space="preserve">D-10</t>
  </si>
  <si>
    <t xml:space="preserve">Size vs stall range</t>
  </si>
  <si>
    <t xml:space="preserve">sqft only; stalls only; both</t>
  </si>
  <si>
    <t xml:space="preserve">Apply both; stall range binds</t>
  </si>
  <si>
    <t xml:space="preserve">Scope defaults are inconsistent</t>
  </si>
  <si>
    <t xml:space="preserve">D-11</t>
  </si>
  <si>
    <t xml:space="preserve">G</t>
  </si>
  <si>
    <t xml:space="preserve">Dirichlet form</t>
  </si>
  <si>
    <t xml:space="preserve">flat vs centered</t>
  </si>
  <si>
    <t xml:space="preserve">Flat (alpha = 1)</t>
  </si>
  <si>
    <t xml:space="preserve">Neutral</t>
  </si>
  <si>
    <t xml:space="preserve">D-12</t>
  </si>
  <si>
    <t xml:space="preserve">Occupancy function</t>
  </si>
  <si>
    <t xml:space="preserve">f(gap_ratio) only vs + absorption cap</t>
  </si>
  <si>
    <t xml:space="preserve">min(cap, g(gap_ratio), capture x unmet / stalls)</t>
  </si>
  <si>
    <t xml:space="preserve">Prevents big lots filling from small gaps</t>
  </si>
  <si>
    <t xml:space="preserve">D-13</t>
  </si>
  <si>
    <t xml:space="preserve">Soft cost base</t>
  </si>
  <si>
    <t xml:space="preserve">hard cost vs hard + land</t>
  </si>
  <si>
    <t xml:space="preserve">Hard cost</t>
  </si>
  <si>
    <t xml:space="preserve">D-14</t>
  </si>
  <si>
    <t xml:space="preserve">Financial ranking metric</t>
  </si>
  <si>
    <t xml:space="preserve">yield-on-cost vs IRR vs NPV</t>
  </si>
  <si>
    <t xml:space="preserve">Yield-on-cost (buy)</t>
  </si>
  <si>
    <t xml:space="preserve">Less exposed to exit assumptions</t>
  </si>
  <si>
    <t xml:space="preserve">D-15</t>
  </si>
  <si>
    <t xml:space="preserve">Zoning screen for Columbus</t>
  </si>
  <si>
    <t xml:space="preserve">legacy districts only vs + Zone In + downtown design zones</t>
  </si>
  <si>
    <t xml:space="preserve">Build zoning_screen table covering Title 33, Title 34 (Zone In) and Downtown zones A/B; suburbs separately</t>
  </si>
  <si>
    <t xml:space="preserve">Downtown guidelines prohibit non-accessory lots in zone A; CoA review everywhere downtown [VERIFY current code]</t>
  </si>
  <si>
    <t xml:space="preserve">check_id</t>
  </si>
  <si>
    <t xml:space="preserve">run_id</t>
  </si>
  <si>
    <t xml:space="preserve">stage</t>
  </si>
  <si>
    <t xml:space="preserve">check</t>
  </si>
  <si>
    <t xml:space="preserve">threshold</t>
  </si>
  <si>
    <t xml:space="preserve">result</t>
  </si>
  <si>
    <t xml:space="preserve">count</t>
  </si>
  <si>
    <t xml:space="preserve">passed (Y/N)</t>
  </si>
  <si>
    <t xml:space="preserve">date / notes</t>
  </si>
  <si>
    <t xml:space="preserve">QA-01</t>
  </si>
  <si>
    <t xml:space="preserve">Ingest</t>
  </si>
  <si>
    <t xml:space="preserve">All layers in EPSG:3735</t>
  </si>
  <si>
    <t xml:space="preserve">100%</t>
  </si>
  <si>
    <t xml:space="preserve">QA-02</t>
  </si>
  <si>
    <t xml:space="preserve">Null/invalid geometry after repair</t>
  </si>
  <si>
    <t xml:space="preserve">0</t>
  </si>
  <si>
    <t xml:space="preserve">QA-03</t>
  </si>
  <si>
    <t xml:space="preserve">Duplicate parcel_id / facility_id</t>
  </si>
  <si>
    <t xml:space="preserve">QA-04</t>
  </si>
  <si>
    <t xml:space="preserve">Hex overlaps/gaps</t>
  </si>
  <si>
    <t xml:space="preserve">QA-05</t>
  </si>
  <si>
    <t xml:space="preserve">Sum hex demand = sum anchor demand (each daypart)</t>
  </si>
  <si>
    <t xml:space="preserve">exact</t>
  </si>
  <si>
    <t xml:space="preserve">QA-06</t>
  </si>
  <si>
    <t xml:space="preserve">Downtown weekday vs published study</t>
  </si>
  <si>
    <t xml:space="preserve">±25%</t>
  </si>
  <si>
    <t xml:space="preserve">QA-07</t>
  </si>
  <si>
    <t xml:space="preserve">Stated vs estimated capacity (median abs % error)</t>
  </si>
  <si>
    <t xml:space="preserve">≤20%</t>
  </si>
  <si>
    <t xml:space="preserve">QA-08</t>
  </si>
  <si>
    <t xml:space="preserve">Rates</t>
  </si>
  <si>
    <t xml:space="preserve">IDW cross-validation error</t>
  </si>
  <si>
    <t xml:space="preserve">QA-09</t>
  </si>
  <si>
    <t xml:space="preserve">Screen</t>
  </si>
  <si>
    <t xml:space="preserve">Every evaluated parcel has screen_reason</t>
  </si>
  <si>
    <t xml:space="preserve">QA-10</t>
  </si>
  <si>
    <t xml:space="preserve">Scoring</t>
  </si>
  <si>
    <t xml:space="preserve">Weights sum to 1; composite 0–100; unique ranks</t>
  </si>
  <si>
    <t xml:space="preserve">QA-11</t>
  </si>
  <si>
    <t xml:space="preserve">Hand check of 3 sites vs workbook</t>
  </si>
  <si>
    <t xml:space="preserve">$1</t>
  </si>
  <si>
    <t xml:space="preserve">QA-12</t>
  </si>
  <si>
    <t xml:space="preserve">Maps</t>
  </si>
  <si>
    <t xml:space="preserve">Title/legend/scale/sources/run ID on every map</t>
  </si>
  <si>
    <t xml:space="preserve">QA-13</t>
  </si>
  <si>
    <t xml:space="preserve">Package</t>
  </si>
  <si>
    <t xml:space="preserve">Every memo number traced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</si>
</sst>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3" t="s">
        <v>9</v>
      </c>
      <c r="B12" s="4" t="n">
        <f aca="false">COUNTIF(Parameters!F:F,"DECIDE")</f>
        <v>17</v>
      </c>
    </row>
    <row r="13" customFormat="false" ht="15" hidden="false" customHeight="false" outlineLevel="0" collapsed="false">
      <c r="A13" s="3" t="s">
        <v>10</v>
      </c>
      <c r="B13" s="4" t="n">
        <f aca="false">COUNTIF(Parameters!F:F,"VERIFY")+COUNTIF(Parameters!F:F,"SCOPE")</f>
        <v>42</v>
      </c>
    </row>
    <row r="14" customFormat="false" ht="15" hidden="false" customHeight="false" outlineLevel="0" collapsed="false">
      <c r="A14" s="3" t="s">
        <v>11</v>
      </c>
      <c r="B14" s="4" t="n">
        <f aca="false">COUNTIF(Source_Register!L:L,"To download")</f>
        <v>18</v>
      </c>
    </row>
    <row r="15" customFormat="false" ht="15" hidden="false" customHeight="false" outlineLevel="0" collapsed="false">
      <c r="A15" s="3" t="s">
        <v>12</v>
      </c>
      <c r="B15" s="4" t="n">
        <f aca="false">COUNTIF(Decision_Log!I:I,"Proposed")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48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customFormat="false" ht="26.85" hidden="false" customHeight="false" outlineLevel="0" collapsed="false">
      <c r="A2" s="6" t="s">
        <v>21</v>
      </c>
      <c r="B2" s="6" t="s">
        <v>22</v>
      </c>
      <c r="C2" s="7" t="s">
        <v>23</v>
      </c>
      <c r="D2" s="6"/>
      <c r="E2" s="6" t="s">
        <v>24</v>
      </c>
      <c r="F2" s="6" t="s">
        <v>25</v>
      </c>
      <c r="G2" s="6" t="s">
        <v>26</v>
      </c>
      <c r="H2" s="6" t="s">
        <v>27</v>
      </c>
    </row>
    <row r="3" customFormat="false" ht="26.85" hidden="false" customHeight="false" outlineLevel="0" collapsed="false">
      <c r="A3" s="6" t="s">
        <v>21</v>
      </c>
      <c r="B3" s="6" t="s">
        <v>28</v>
      </c>
      <c r="C3" s="7" t="s">
        <v>29</v>
      </c>
      <c r="D3" s="6" t="s">
        <v>30</v>
      </c>
      <c r="E3" s="6" t="s">
        <v>24</v>
      </c>
      <c r="F3" s="6" t="s">
        <v>25</v>
      </c>
      <c r="G3" s="6" t="s">
        <v>31</v>
      </c>
      <c r="H3" s="6" t="s">
        <v>32</v>
      </c>
    </row>
    <row r="4" customFormat="false" ht="15" hidden="false" customHeight="false" outlineLevel="0" collapsed="false">
      <c r="A4" s="6" t="s">
        <v>21</v>
      </c>
      <c r="B4" s="6" t="s">
        <v>33</v>
      </c>
      <c r="C4" s="7" t="n">
        <v>9</v>
      </c>
      <c r="D4" s="6"/>
      <c r="E4" s="6" t="s">
        <v>24</v>
      </c>
      <c r="F4" s="6" t="s">
        <v>34</v>
      </c>
      <c r="G4" s="6" t="s">
        <v>35</v>
      </c>
      <c r="H4" s="6" t="s">
        <v>36</v>
      </c>
    </row>
    <row r="5" customFormat="false" ht="26.85" hidden="false" customHeight="false" outlineLevel="0" collapsed="false">
      <c r="A5" s="6" t="s">
        <v>21</v>
      </c>
      <c r="B5" s="6" t="s">
        <v>37</v>
      </c>
      <c r="C5" s="8"/>
      <c r="D5" s="6" t="s">
        <v>38</v>
      </c>
      <c r="E5" s="6" t="s">
        <v>39</v>
      </c>
      <c r="F5" s="6" t="s">
        <v>40</v>
      </c>
      <c r="G5" s="6"/>
      <c r="H5" s="6" t="s">
        <v>41</v>
      </c>
    </row>
    <row r="6" customFormat="false" ht="26.85" hidden="false" customHeight="false" outlineLevel="0" collapsed="false">
      <c r="A6" s="6" t="s">
        <v>42</v>
      </c>
      <c r="B6" s="6" t="s">
        <v>43</v>
      </c>
      <c r="C6" s="7" t="n">
        <v>15000</v>
      </c>
      <c r="D6" s="6" t="s">
        <v>44</v>
      </c>
      <c r="E6" s="6" t="s">
        <v>45</v>
      </c>
      <c r="F6" s="6" t="s">
        <v>34</v>
      </c>
      <c r="G6" s="6" t="s">
        <v>46</v>
      </c>
      <c r="H6" s="6" t="s">
        <v>47</v>
      </c>
    </row>
    <row r="7" customFormat="false" ht="15" hidden="false" customHeight="false" outlineLevel="0" collapsed="false">
      <c r="A7" s="6" t="s">
        <v>42</v>
      </c>
      <c r="B7" s="6" t="s">
        <v>48</v>
      </c>
      <c r="C7" s="7" t="n">
        <v>200000</v>
      </c>
      <c r="D7" s="6" t="s">
        <v>44</v>
      </c>
      <c r="E7" s="6" t="s">
        <v>45</v>
      </c>
      <c r="F7" s="6" t="s">
        <v>34</v>
      </c>
      <c r="G7" s="6" t="s">
        <v>46</v>
      </c>
      <c r="H7" s="6" t="s">
        <v>49</v>
      </c>
    </row>
    <row r="8" customFormat="false" ht="15" hidden="false" customHeight="false" outlineLevel="0" collapsed="false">
      <c r="A8" s="6" t="s">
        <v>42</v>
      </c>
      <c r="B8" s="6" t="s">
        <v>50</v>
      </c>
      <c r="C8" s="7" t="n">
        <v>50</v>
      </c>
      <c r="D8" s="6" t="s">
        <v>51</v>
      </c>
      <c r="E8" s="6" t="s">
        <v>45</v>
      </c>
      <c r="F8" s="6" t="s">
        <v>34</v>
      </c>
      <c r="G8" s="6" t="s">
        <v>52</v>
      </c>
      <c r="H8" s="6"/>
    </row>
    <row r="9" customFormat="false" ht="15" hidden="false" customHeight="false" outlineLevel="0" collapsed="false">
      <c r="A9" s="6" t="s">
        <v>42</v>
      </c>
      <c r="B9" s="6" t="s">
        <v>53</v>
      </c>
      <c r="C9" s="7" t="n">
        <v>300</v>
      </c>
      <c r="D9" s="6" t="s">
        <v>51</v>
      </c>
      <c r="E9" s="6" t="s">
        <v>45</v>
      </c>
      <c r="F9" s="6" t="s">
        <v>34</v>
      </c>
      <c r="G9" s="6" t="s">
        <v>52</v>
      </c>
      <c r="H9" s="6"/>
    </row>
    <row r="10" customFormat="false" ht="26.85" hidden="false" customHeight="false" outlineLevel="0" collapsed="false">
      <c r="A10" s="6" t="s">
        <v>42</v>
      </c>
      <c r="B10" s="6" t="s">
        <v>54</v>
      </c>
      <c r="C10" s="7" t="n">
        <v>320</v>
      </c>
      <c r="D10" s="6" t="s">
        <v>55</v>
      </c>
      <c r="E10" s="6" t="s">
        <v>56</v>
      </c>
      <c r="F10" s="6" t="s">
        <v>34</v>
      </c>
      <c r="G10" s="6" t="s">
        <v>57</v>
      </c>
      <c r="H10" s="6"/>
    </row>
    <row r="11" customFormat="false" ht="15" hidden="false" customHeight="false" outlineLevel="0" collapsed="false">
      <c r="A11" s="6" t="s">
        <v>42</v>
      </c>
      <c r="B11" s="6" t="s">
        <v>58</v>
      </c>
      <c r="C11" s="7" t="n">
        <v>0.9</v>
      </c>
      <c r="D11" s="6" t="s">
        <v>59</v>
      </c>
      <c r="E11" s="6" t="s">
        <v>56</v>
      </c>
      <c r="F11" s="6" t="s">
        <v>34</v>
      </c>
      <c r="G11" s="6" t="s">
        <v>46</v>
      </c>
      <c r="H11" s="6"/>
    </row>
    <row r="12" customFormat="false" ht="26.85" hidden="false" customHeight="false" outlineLevel="0" collapsed="false">
      <c r="A12" s="6" t="s">
        <v>42</v>
      </c>
      <c r="B12" s="6" t="s">
        <v>60</v>
      </c>
      <c r="C12" s="7" t="n">
        <v>0.08</v>
      </c>
      <c r="D12" s="6" t="s">
        <v>59</v>
      </c>
      <c r="E12" s="6" t="s">
        <v>61</v>
      </c>
      <c r="F12" s="6" t="s">
        <v>34</v>
      </c>
      <c r="G12" s="6" t="s">
        <v>46</v>
      </c>
      <c r="H12" s="6" t="s">
        <v>62</v>
      </c>
    </row>
    <row r="13" customFormat="false" ht="15" hidden="false" customHeight="false" outlineLevel="0" collapsed="false">
      <c r="A13" s="6" t="s">
        <v>42</v>
      </c>
      <c r="B13" s="6" t="s">
        <v>63</v>
      </c>
      <c r="C13" s="7" t="n">
        <v>5</v>
      </c>
      <c r="D13" s="6" t="s">
        <v>64</v>
      </c>
      <c r="E13" s="6" t="s">
        <v>45</v>
      </c>
      <c r="F13" s="6" t="s">
        <v>34</v>
      </c>
      <c r="G13" s="6" t="s">
        <v>46</v>
      </c>
      <c r="H13" s="6"/>
    </row>
    <row r="14" customFormat="false" ht="15" hidden="false" customHeight="false" outlineLevel="0" collapsed="false">
      <c r="A14" s="6" t="s">
        <v>42</v>
      </c>
      <c r="B14" s="6" t="s">
        <v>65</v>
      </c>
      <c r="C14" s="7" t="n">
        <v>60</v>
      </c>
      <c r="D14" s="6" t="s">
        <v>66</v>
      </c>
      <c r="E14" s="6" t="s">
        <v>45</v>
      </c>
      <c r="F14" s="6" t="s">
        <v>34</v>
      </c>
      <c r="G14" s="6" t="s">
        <v>46</v>
      </c>
      <c r="H14" s="6"/>
    </row>
    <row r="15" customFormat="false" ht="15" hidden="false" customHeight="false" outlineLevel="0" collapsed="false">
      <c r="A15" s="6" t="s">
        <v>42</v>
      </c>
      <c r="B15" s="6" t="s">
        <v>67</v>
      </c>
      <c r="C15" s="7" t="n">
        <v>0.6</v>
      </c>
      <c r="D15" s="6" t="s">
        <v>68</v>
      </c>
      <c r="E15" s="6" t="s">
        <v>45</v>
      </c>
      <c r="F15" s="6" t="s">
        <v>34</v>
      </c>
      <c r="G15" s="6" t="s">
        <v>46</v>
      </c>
      <c r="H15" s="6" t="s">
        <v>69</v>
      </c>
    </row>
    <row r="16" customFormat="false" ht="15" hidden="false" customHeight="false" outlineLevel="0" collapsed="false">
      <c r="A16" s="6" t="s">
        <v>42</v>
      </c>
      <c r="B16" s="6" t="s">
        <v>70</v>
      </c>
      <c r="C16" s="7" t="n">
        <v>0.25</v>
      </c>
      <c r="D16" s="6" t="s">
        <v>68</v>
      </c>
      <c r="E16" s="6" t="s">
        <v>45</v>
      </c>
      <c r="F16" s="6" t="s">
        <v>34</v>
      </c>
      <c r="G16" s="6" t="s">
        <v>71</v>
      </c>
      <c r="H16" s="6"/>
    </row>
    <row r="17" customFormat="false" ht="15" hidden="false" customHeight="false" outlineLevel="0" collapsed="false">
      <c r="A17" s="6" t="s">
        <v>42</v>
      </c>
      <c r="B17" s="6" t="s">
        <v>72</v>
      </c>
      <c r="C17" s="8"/>
      <c r="D17" s="6" t="s">
        <v>66</v>
      </c>
      <c r="E17" s="6" t="s">
        <v>45</v>
      </c>
      <c r="F17" s="6" t="s">
        <v>40</v>
      </c>
      <c r="G17" s="6"/>
      <c r="H17" s="6"/>
    </row>
    <row r="18" customFormat="false" ht="15" hidden="false" customHeight="false" outlineLevel="0" collapsed="false">
      <c r="A18" s="6" t="s">
        <v>73</v>
      </c>
      <c r="B18" s="6" t="s">
        <v>74</v>
      </c>
      <c r="C18" s="7" t="s">
        <v>75</v>
      </c>
      <c r="D18" s="6" t="s">
        <v>76</v>
      </c>
      <c r="E18" s="6" t="s">
        <v>77</v>
      </c>
      <c r="F18" s="6" t="s">
        <v>34</v>
      </c>
      <c r="G18" s="6" t="s">
        <v>46</v>
      </c>
      <c r="H18" s="6"/>
    </row>
    <row r="19" customFormat="false" ht="15" hidden="false" customHeight="false" outlineLevel="0" collapsed="false">
      <c r="A19" s="6" t="s">
        <v>73</v>
      </c>
      <c r="B19" s="6" t="s">
        <v>78</v>
      </c>
      <c r="C19" s="7" t="n">
        <v>1</v>
      </c>
      <c r="D19" s="6"/>
      <c r="E19" s="6" t="s">
        <v>79</v>
      </c>
      <c r="F19" s="6" t="s">
        <v>34</v>
      </c>
      <c r="G19" s="6" t="s">
        <v>80</v>
      </c>
      <c r="H19" s="6"/>
    </row>
    <row r="20" customFormat="false" ht="15" hidden="false" customHeight="false" outlineLevel="0" collapsed="false">
      <c r="A20" s="6" t="s">
        <v>73</v>
      </c>
      <c r="B20" s="6" t="s">
        <v>81</v>
      </c>
      <c r="C20" s="7" t="n">
        <v>0.6</v>
      </c>
      <c r="D20" s="6"/>
      <c r="E20" s="6" t="s">
        <v>79</v>
      </c>
      <c r="F20" s="6" t="s">
        <v>34</v>
      </c>
      <c r="G20" s="6" t="s">
        <v>80</v>
      </c>
      <c r="H20" s="6"/>
    </row>
    <row r="21" customFormat="false" ht="15" hidden="false" customHeight="false" outlineLevel="0" collapsed="false">
      <c r="A21" s="6" t="s">
        <v>73</v>
      </c>
      <c r="B21" s="6" t="s">
        <v>82</v>
      </c>
      <c r="C21" s="7" t="n">
        <v>0.25</v>
      </c>
      <c r="D21" s="6"/>
      <c r="E21" s="6" t="s">
        <v>79</v>
      </c>
      <c r="F21" s="6" t="s">
        <v>34</v>
      </c>
      <c r="G21" s="6" t="s">
        <v>80</v>
      </c>
      <c r="H21" s="6"/>
    </row>
    <row r="22" customFormat="false" ht="15" hidden="false" customHeight="false" outlineLevel="0" collapsed="false">
      <c r="A22" s="6" t="s">
        <v>73</v>
      </c>
      <c r="B22" s="6" t="s">
        <v>83</v>
      </c>
      <c r="C22" s="7" t="n">
        <v>1.3</v>
      </c>
      <c r="D22" s="6" t="s">
        <v>84</v>
      </c>
      <c r="E22" s="6" t="s">
        <v>24</v>
      </c>
      <c r="F22" s="6" t="s">
        <v>85</v>
      </c>
      <c r="G22" s="6" t="s">
        <v>86</v>
      </c>
      <c r="H22" s="6" t="s">
        <v>87</v>
      </c>
    </row>
    <row r="23" customFormat="false" ht="15" hidden="false" customHeight="false" outlineLevel="0" collapsed="false">
      <c r="A23" s="6" t="s">
        <v>73</v>
      </c>
      <c r="B23" s="6" t="s">
        <v>88</v>
      </c>
      <c r="C23" s="7" t="n">
        <v>400</v>
      </c>
      <c r="D23" s="6" t="s">
        <v>89</v>
      </c>
      <c r="E23" s="6" t="s">
        <v>90</v>
      </c>
      <c r="F23" s="6" t="s">
        <v>85</v>
      </c>
      <c r="G23" s="6" t="s">
        <v>46</v>
      </c>
      <c r="H23" s="6"/>
    </row>
    <row r="24" customFormat="false" ht="15" hidden="false" customHeight="false" outlineLevel="0" collapsed="false">
      <c r="A24" s="6" t="s">
        <v>73</v>
      </c>
      <c r="B24" s="6" t="s">
        <v>91</v>
      </c>
      <c r="C24" s="7" t="n">
        <v>0.85</v>
      </c>
      <c r="D24" s="6"/>
      <c r="E24" s="6" t="s">
        <v>90</v>
      </c>
      <c r="F24" s="6" t="s">
        <v>85</v>
      </c>
      <c r="G24" s="6" t="s">
        <v>46</v>
      </c>
      <c r="H24" s="6"/>
    </row>
    <row r="25" customFormat="false" ht="15" hidden="false" customHeight="false" outlineLevel="0" collapsed="false">
      <c r="A25" s="6" t="s">
        <v>73</v>
      </c>
      <c r="B25" s="6" t="s">
        <v>92</v>
      </c>
      <c r="C25" s="8"/>
      <c r="D25" s="6" t="s">
        <v>76</v>
      </c>
      <c r="E25" s="6" t="s">
        <v>90</v>
      </c>
      <c r="F25" s="6" t="s">
        <v>40</v>
      </c>
      <c r="G25" s="6"/>
      <c r="H25" s="6"/>
    </row>
    <row r="26" customFormat="false" ht="15" hidden="false" customHeight="false" outlineLevel="0" collapsed="false">
      <c r="A26" s="6" t="s">
        <v>73</v>
      </c>
      <c r="B26" s="6" t="s">
        <v>93</v>
      </c>
      <c r="C26" s="8"/>
      <c r="D26" s="6" t="s">
        <v>59</v>
      </c>
      <c r="E26" s="6" t="s">
        <v>90</v>
      </c>
      <c r="F26" s="6" t="s">
        <v>40</v>
      </c>
      <c r="G26" s="6"/>
      <c r="H26" s="6" t="s">
        <v>94</v>
      </c>
    </row>
    <row r="27" customFormat="false" ht="15" hidden="false" customHeight="false" outlineLevel="0" collapsed="false">
      <c r="A27" s="6" t="s">
        <v>73</v>
      </c>
      <c r="B27" s="6" t="s">
        <v>95</v>
      </c>
      <c r="C27" s="8"/>
      <c r="D27" s="6" t="s">
        <v>59</v>
      </c>
      <c r="E27" s="6" t="s">
        <v>90</v>
      </c>
      <c r="F27" s="6" t="s">
        <v>40</v>
      </c>
      <c r="G27" s="6"/>
      <c r="H27" s="6" t="s">
        <v>96</v>
      </c>
    </row>
    <row r="28" customFormat="false" ht="26.85" hidden="false" customHeight="false" outlineLevel="0" collapsed="false">
      <c r="A28" s="6" t="s">
        <v>73</v>
      </c>
      <c r="B28" s="6" t="s">
        <v>97</v>
      </c>
      <c r="C28" s="7" t="s">
        <v>98</v>
      </c>
      <c r="D28" s="6" t="s">
        <v>99</v>
      </c>
      <c r="E28" s="6" t="s">
        <v>90</v>
      </c>
      <c r="F28" s="6" t="s">
        <v>85</v>
      </c>
      <c r="G28" s="6" t="s">
        <v>100</v>
      </c>
      <c r="H28" s="6"/>
    </row>
    <row r="29" customFormat="false" ht="15" hidden="false" customHeight="false" outlineLevel="0" collapsed="false">
      <c r="A29" s="6" t="s">
        <v>73</v>
      </c>
      <c r="B29" s="6" t="s">
        <v>101</v>
      </c>
      <c r="C29" s="7" t="s">
        <v>102</v>
      </c>
      <c r="D29" s="6" t="s">
        <v>103</v>
      </c>
      <c r="E29" s="6" t="s">
        <v>90</v>
      </c>
      <c r="F29" s="6" t="s">
        <v>85</v>
      </c>
      <c r="G29" s="6" t="s">
        <v>104</v>
      </c>
      <c r="H29" s="6"/>
    </row>
    <row r="30" customFormat="false" ht="15" hidden="false" customHeight="false" outlineLevel="0" collapsed="false">
      <c r="A30" s="6" t="s">
        <v>73</v>
      </c>
      <c r="B30" s="6" t="s">
        <v>105</v>
      </c>
      <c r="C30" s="7" t="s">
        <v>106</v>
      </c>
      <c r="D30" s="6" t="s">
        <v>103</v>
      </c>
      <c r="E30" s="6" t="s">
        <v>90</v>
      </c>
      <c r="F30" s="6" t="s">
        <v>85</v>
      </c>
      <c r="G30" s="6" t="s">
        <v>104</v>
      </c>
      <c r="H30" s="6"/>
    </row>
    <row r="31" customFormat="false" ht="15" hidden="false" customHeight="false" outlineLevel="0" collapsed="false">
      <c r="A31" s="6" t="s">
        <v>73</v>
      </c>
      <c r="B31" s="6" t="s">
        <v>107</v>
      </c>
      <c r="C31" s="7" t="s">
        <v>108</v>
      </c>
      <c r="D31" s="6" t="s">
        <v>103</v>
      </c>
      <c r="E31" s="6" t="s">
        <v>90</v>
      </c>
      <c r="F31" s="6" t="s">
        <v>85</v>
      </c>
      <c r="G31" s="6" t="s">
        <v>104</v>
      </c>
      <c r="H31" s="6"/>
    </row>
    <row r="32" customFormat="false" ht="15" hidden="false" customHeight="false" outlineLevel="0" collapsed="false">
      <c r="A32" s="6" t="s">
        <v>73</v>
      </c>
      <c r="B32" s="6" t="s">
        <v>109</v>
      </c>
      <c r="C32" s="7" t="s">
        <v>110</v>
      </c>
      <c r="D32" s="6" t="s">
        <v>103</v>
      </c>
      <c r="E32" s="6" t="s">
        <v>90</v>
      </c>
      <c r="F32" s="6" t="s">
        <v>85</v>
      </c>
      <c r="G32" s="6" t="s">
        <v>104</v>
      </c>
      <c r="H32" s="6"/>
    </row>
    <row r="33" customFormat="false" ht="15" hidden="false" customHeight="false" outlineLevel="0" collapsed="false">
      <c r="A33" s="6" t="s">
        <v>73</v>
      </c>
      <c r="B33" s="6" t="s">
        <v>111</v>
      </c>
      <c r="C33" s="7" t="s">
        <v>112</v>
      </c>
      <c r="D33" s="6" t="s">
        <v>103</v>
      </c>
      <c r="E33" s="6" t="s">
        <v>90</v>
      </c>
      <c r="F33" s="6" t="s">
        <v>85</v>
      </c>
      <c r="G33" s="6" t="s">
        <v>104</v>
      </c>
      <c r="H33" s="6"/>
    </row>
    <row r="34" customFormat="false" ht="26.85" hidden="false" customHeight="false" outlineLevel="0" collapsed="false">
      <c r="A34" s="6" t="s">
        <v>73</v>
      </c>
      <c r="B34" s="6" t="s">
        <v>113</v>
      </c>
      <c r="C34" s="7" t="n">
        <v>0.33</v>
      </c>
      <c r="D34" s="6" t="s">
        <v>114</v>
      </c>
      <c r="E34" s="6" t="s">
        <v>90</v>
      </c>
      <c r="F34" s="6" t="s">
        <v>85</v>
      </c>
      <c r="G34" s="6" t="s">
        <v>115</v>
      </c>
      <c r="H34" s="6"/>
    </row>
    <row r="35" customFormat="false" ht="15" hidden="false" customHeight="false" outlineLevel="0" collapsed="false">
      <c r="A35" s="6" t="s">
        <v>73</v>
      </c>
      <c r="B35" s="6" t="s">
        <v>116</v>
      </c>
      <c r="C35" s="7" t="s">
        <v>117</v>
      </c>
      <c r="D35" s="6" t="s">
        <v>103</v>
      </c>
      <c r="E35" s="6" t="s">
        <v>90</v>
      </c>
      <c r="F35" s="6" t="s">
        <v>85</v>
      </c>
      <c r="G35" s="6" t="s">
        <v>104</v>
      </c>
      <c r="H35" s="6"/>
    </row>
    <row r="36" customFormat="false" ht="15" hidden="false" customHeight="false" outlineLevel="0" collapsed="false">
      <c r="A36" s="6" t="s">
        <v>118</v>
      </c>
      <c r="B36" s="6" t="s">
        <v>119</v>
      </c>
      <c r="C36" s="7" t="n">
        <v>0.5</v>
      </c>
      <c r="D36" s="6" t="s">
        <v>59</v>
      </c>
      <c r="E36" s="6" t="s">
        <v>120</v>
      </c>
      <c r="F36" s="6" t="s">
        <v>34</v>
      </c>
      <c r="G36" s="6" t="s">
        <v>46</v>
      </c>
      <c r="H36" s="6"/>
    </row>
    <row r="37" customFormat="false" ht="26.85" hidden="false" customHeight="false" outlineLevel="0" collapsed="false">
      <c r="A37" s="6" t="s">
        <v>118</v>
      </c>
      <c r="B37" s="6" t="s">
        <v>121</v>
      </c>
      <c r="C37" s="7" t="n">
        <v>22</v>
      </c>
      <c r="D37" s="6" t="s">
        <v>66</v>
      </c>
      <c r="E37" s="6" t="s">
        <v>120</v>
      </c>
      <c r="F37" s="6" t="s">
        <v>34</v>
      </c>
      <c r="G37" s="6" t="s">
        <v>46</v>
      </c>
      <c r="H37" s="6" t="s">
        <v>122</v>
      </c>
    </row>
    <row r="38" customFormat="false" ht="15" hidden="false" customHeight="false" outlineLevel="0" collapsed="false">
      <c r="A38" s="6" t="s">
        <v>118</v>
      </c>
      <c r="B38" s="6" t="s">
        <v>123</v>
      </c>
      <c r="C38" s="7" t="n">
        <v>40</v>
      </c>
      <c r="D38" s="6" t="s">
        <v>89</v>
      </c>
      <c r="E38" s="6" t="s">
        <v>120</v>
      </c>
      <c r="F38" s="6" t="s">
        <v>34</v>
      </c>
      <c r="G38" s="6" t="s">
        <v>124</v>
      </c>
      <c r="H38" s="6"/>
    </row>
    <row r="39" customFormat="false" ht="15" hidden="false" customHeight="false" outlineLevel="0" collapsed="false">
      <c r="A39" s="6" t="s">
        <v>125</v>
      </c>
      <c r="B39" s="6" t="s">
        <v>126</v>
      </c>
      <c r="C39" s="7" t="n">
        <v>1.2</v>
      </c>
      <c r="D39" s="6" t="s">
        <v>68</v>
      </c>
      <c r="E39" s="6" t="s">
        <v>127</v>
      </c>
      <c r="F39" s="6" t="s">
        <v>85</v>
      </c>
      <c r="G39" s="6" t="s">
        <v>128</v>
      </c>
      <c r="H39" s="6"/>
    </row>
    <row r="40" customFormat="false" ht="15" hidden="false" customHeight="false" outlineLevel="0" collapsed="false">
      <c r="A40" s="6" t="s">
        <v>125</v>
      </c>
      <c r="B40" s="6" t="s">
        <v>129</v>
      </c>
      <c r="C40" s="7" t="n">
        <v>6500</v>
      </c>
      <c r="D40" s="6" t="s">
        <v>130</v>
      </c>
      <c r="E40" s="6" t="s">
        <v>127</v>
      </c>
      <c r="F40" s="6" t="s">
        <v>85</v>
      </c>
      <c r="G40" s="6" t="s">
        <v>131</v>
      </c>
      <c r="H40" s="6" t="s">
        <v>132</v>
      </c>
    </row>
    <row r="41" customFormat="false" ht="15" hidden="false" customHeight="false" outlineLevel="0" collapsed="false">
      <c r="A41" s="6" t="s">
        <v>125</v>
      </c>
      <c r="B41" s="6" t="s">
        <v>133</v>
      </c>
      <c r="C41" s="7" t="n">
        <v>0.15</v>
      </c>
      <c r="D41" s="6" t="s">
        <v>59</v>
      </c>
      <c r="E41" s="6" t="s">
        <v>127</v>
      </c>
      <c r="F41" s="6" t="s">
        <v>34</v>
      </c>
      <c r="G41" s="6" t="s">
        <v>46</v>
      </c>
      <c r="H41" s="6" t="s">
        <v>134</v>
      </c>
    </row>
    <row r="42" customFormat="false" ht="15" hidden="false" customHeight="false" outlineLevel="0" collapsed="false">
      <c r="A42" s="6" t="s">
        <v>125</v>
      </c>
      <c r="B42" s="6" t="s">
        <v>135</v>
      </c>
      <c r="C42" s="7" t="n">
        <v>450</v>
      </c>
      <c r="D42" s="6" t="s">
        <v>130</v>
      </c>
      <c r="E42" s="6" t="s">
        <v>127</v>
      </c>
      <c r="F42" s="6" t="s">
        <v>85</v>
      </c>
      <c r="G42" s="6" t="s">
        <v>46</v>
      </c>
      <c r="H42" s="6"/>
    </row>
    <row r="43" customFormat="false" ht="15" hidden="false" customHeight="false" outlineLevel="0" collapsed="false">
      <c r="A43" s="6" t="s">
        <v>125</v>
      </c>
      <c r="B43" s="6" t="s">
        <v>136</v>
      </c>
      <c r="C43" s="8"/>
      <c r="D43" s="6" t="s">
        <v>59</v>
      </c>
      <c r="E43" s="6" t="s">
        <v>127</v>
      </c>
      <c r="F43" s="6" t="s">
        <v>40</v>
      </c>
      <c r="G43" s="6"/>
      <c r="H43" s="6"/>
    </row>
    <row r="44" customFormat="false" ht="15" hidden="false" customHeight="false" outlineLevel="0" collapsed="false">
      <c r="A44" s="6" t="s">
        <v>125</v>
      </c>
      <c r="B44" s="6" t="s">
        <v>137</v>
      </c>
      <c r="C44" s="8"/>
      <c r="D44" s="6" t="s">
        <v>59</v>
      </c>
      <c r="E44" s="6" t="s">
        <v>127</v>
      </c>
      <c r="F44" s="6" t="s">
        <v>40</v>
      </c>
      <c r="G44" s="6"/>
      <c r="H44" s="6"/>
    </row>
    <row r="45" customFormat="false" ht="26.85" hidden="false" customHeight="false" outlineLevel="0" collapsed="false">
      <c r="A45" s="6" t="s">
        <v>125</v>
      </c>
      <c r="B45" s="6" t="s">
        <v>138</v>
      </c>
      <c r="C45" s="7" t="n">
        <v>0.012</v>
      </c>
      <c r="D45" s="6" t="s">
        <v>59</v>
      </c>
      <c r="E45" s="6" t="s">
        <v>127</v>
      </c>
      <c r="F45" s="6" t="s">
        <v>85</v>
      </c>
      <c r="G45" s="6" t="s">
        <v>46</v>
      </c>
      <c r="H45" s="6" t="s">
        <v>139</v>
      </c>
    </row>
    <row r="46" customFormat="false" ht="15" hidden="false" customHeight="false" outlineLevel="0" collapsed="false">
      <c r="A46" s="6" t="s">
        <v>125</v>
      </c>
      <c r="B46" s="6" t="s">
        <v>140</v>
      </c>
      <c r="C46" s="7" t="n">
        <v>0.1</v>
      </c>
      <c r="D46" s="6" t="s">
        <v>59</v>
      </c>
      <c r="E46" s="6" t="s">
        <v>127</v>
      </c>
      <c r="F46" s="6" t="s">
        <v>34</v>
      </c>
      <c r="G46" s="6" t="s">
        <v>46</v>
      </c>
      <c r="H46" s="6"/>
    </row>
    <row r="47" customFormat="false" ht="26.85" hidden="false" customHeight="false" outlineLevel="0" collapsed="false">
      <c r="A47" s="6" t="s">
        <v>125</v>
      </c>
      <c r="B47" s="6" t="s">
        <v>141</v>
      </c>
      <c r="C47" s="7" t="s">
        <v>142</v>
      </c>
      <c r="D47" s="6" t="s">
        <v>99</v>
      </c>
      <c r="E47" s="6" t="s">
        <v>127</v>
      </c>
      <c r="F47" s="6" t="s">
        <v>34</v>
      </c>
      <c r="G47" s="6" t="s">
        <v>46</v>
      </c>
      <c r="H47" s="6"/>
    </row>
    <row r="48" customFormat="false" ht="15" hidden="false" customHeight="false" outlineLevel="0" collapsed="false">
      <c r="A48" s="6" t="s">
        <v>125</v>
      </c>
      <c r="B48" s="6" t="s">
        <v>143</v>
      </c>
      <c r="C48" s="8"/>
      <c r="D48" s="6" t="s">
        <v>144</v>
      </c>
      <c r="E48" s="6" t="s">
        <v>127</v>
      </c>
      <c r="F48" s="6" t="s">
        <v>40</v>
      </c>
      <c r="G48" s="6"/>
      <c r="H48" s="6" t="s">
        <v>145</v>
      </c>
    </row>
    <row r="49" customFormat="false" ht="15" hidden="false" customHeight="false" outlineLevel="0" collapsed="false">
      <c r="A49" s="6" t="s">
        <v>125</v>
      </c>
      <c r="B49" s="6" t="s">
        <v>146</v>
      </c>
      <c r="C49" s="8"/>
      <c r="D49" s="6" t="s">
        <v>59</v>
      </c>
      <c r="E49" s="6" t="s">
        <v>127</v>
      </c>
      <c r="F49" s="6" t="s">
        <v>40</v>
      </c>
      <c r="G49" s="6"/>
      <c r="H49" s="6"/>
    </row>
    <row r="50" customFormat="false" ht="15" hidden="false" customHeight="false" outlineLevel="0" collapsed="false">
      <c r="A50" s="6" t="s">
        <v>125</v>
      </c>
      <c r="B50" s="6" t="s">
        <v>147</v>
      </c>
      <c r="C50" s="8"/>
      <c r="D50" s="6"/>
      <c r="E50" s="6" t="s">
        <v>127</v>
      </c>
      <c r="F50" s="6" t="s">
        <v>40</v>
      </c>
      <c r="G50" s="6"/>
      <c r="H50" s="6"/>
    </row>
    <row r="51" customFormat="false" ht="15" hidden="false" customHeight="false" outlineLevel="0" collapsed="false">
      <c r="A51" s="6" t="s">
        <v>125</v>
      </c>
      <c r="B51" s="6" t="s">
        <v>148</v>
      </c>
      <c r="C51" s="8"/>
      <c r="D51" s="6" t="s">
        <v>149</v>
      </c>
      <c r="E51" s="6" t="s">
        <v>127</v>
      </c>
      <c r="F51" s="6" t="s">
        <v>40</v>
      </c>
      <c r="G51" s="6"/>
      <c r="H51" s="6"/>
    </row>
    <row r="52" customFormat="false" ht="15" hidden="false" customHeight="false" outlineLevel="0" collapsed="false">
      <c r="A52" s="6" t="s">
        <v>125</v>
      </c>
      <c r="B52" s="6" t="s">
        <v>150</v>
      </c>
      <c r="C52" s="8"/>
      <c r="D52" s="6" t="s">
        <v>59</v>
      </c>
      <c r="E52" s="6" t="s">
        <v>127</v>
      </c>
      <c r="F52" s="6" t="s">
        <v>40</v>
      </c>
      <c r="G52" s="6"/>
      <c r="H52" s="6"/>
    </row>
    <row r="53" customFormat="false" ht="26.85" hidden="false" customHeight="false" outlineLevel="0" collapsed="false">
      <c r="A53" s="6" t="s">
        <v>125</v>
      </c>
      <c r="B53" s="6" t="s">
        <v>151</v>
      </c>
      <c r="C53" s="8"/>
      <c r="D53" s="6" t="s">
        <v>59</v>
      </c>
      <c r="E53" s="6" t="s">
        <v>127</v>
      </c>
      <c r="F53" s="6" t="s">
        <v>40</v>
      </c>
      <c r="G53" s="6"/>
      <c r="H53" s="6"/>
    </row>
    <row r="54" customFormat="false" ht="15" hidden="false" customHeight="false" outlineLevel="0" collapsed="false">
      <c r="A54" s="6" t="s">
        <v>125</v>
      </c>
      <c r="B54" s="6" t="s">
        <v>152</v>
      </c>
      <c r="C54" s="8"/>
      <c r="D54" s="6" t="s">
        <v>153</v>
      </c>
      <c r="E54" s="6" t="s">
        <v>127</v>
      </c>
      <c r="F54" s="6" t="s">
        <v>40</v>
      </c>
      <c r="G54" s="6"/>
      <c r="H54" s="6"/>
    </row>
    <row r="55" customFormat="false" ht="15" hidden="false" customHeight="false" outlineLevel="0" collapsed="false">
      <c r="A55" s="6" t="s">
        <v>125</v>
      </c>
      <c r="B55" s="6" t="s">
        <v>154</v>
      </c>
      <c r="C55" s="8"/>
      <c r="D55" s="6" t="s">
        <v>59</v>
      </c>
      <c r="E55" s="6" t="s">
        <v>127</v>
      </c>
      <c r="F55" s="6" t="s">
        <v>40</v>
      </c>
      <c r="G55" s="6"/>
      <c r="H55" s="6"/>
    </row>
    <row r="56" customFormat="false" ht="26.85" hidden="false" customHeight="false" outlineLevel="0" collapsed="false">
      <c r="A56" s="6" t="s">
        <v>125</v>
      </c>
      <c r="B56" s="6" t="s">
        <v>155</v>
      </c>
      <c r="C56" s="8"/>
      <c r="D56" s="6"/>
      <c r="E56" s="6" t="s">
        <v>127</v>
      </c>
      <c r="F56" s="6" t="s">
        <v>40</v>
      </c>
      <c r="G56" s="6"/>
      <c r="H56" s="6"/>
    </row>
    <row r="57" customFormat="false" ht="15" hidden="false" customHeight="false" outlineLevel="0" collapsed="false">
      <c r="A57" s="6" t="s">
        <v>125</v>
      </c>
      <c r="B57" s="6" t="s">
        <v>156</v>
      </c>
      <c r="C57" s="7" t="n">
        <v>0.075</v>
      </c>
      <c r="D57" s="6" t="s">
        <v>59</v>
      </c>
      <c r="E57" s="6" t="s">
        <v>127</v>
      </c>
      <c r="F57" s="6" t="s">
        <v>85</v>
      </c>
      <c r="G57" s="6" t="s">
        <v>46</v>
      </c>
      <c r="H57" s="6"/>
    </row>
    <row r="58" customFormat="false" ht="15" hidden="false" customHeight="false" outlineLevel="0" collapsed="false">
      <c r="A58" s="6" t="s">
        <v>125</v>
      </c>
      <c r="B58" s="6" t="s">
        <v>157</v>
      </c>
      <c r="C58" s="7" t="n">
        <v>10</v>
      </c>
      <c r="D58" s="6" t="s">
        <v>158</v>
      </c>
      <c r="E58" s="6" t="s">
        <v>127</v>
      </c>
      <c r="F58" s="6" t="s">
        <v>34</v>
      </c>
      <c r="G58" s="6" t="s">
        <v>46</v>
      </c>
      <c r="H58" s="6"/>
    </row>
    <row r="59" customFormat="false" ht="15" hidden="false" customHeight="false" outlineLevel="0" collapsed="false">
      <c r="A59" s="6" t="s">
        <v>125</v>
      </c>
      <c r="B59" s="6" t="s">
        <v>159</v>
      </c>
      <c r="C59" s="7" t="n">
        <v>0.12</v>
      </c>
      <c r="D59" s="6" t="s">
        <v>59</v>
      </c>
      <c r="E59" s="6" t="s">
        <v>127</v>
      </c>
      <c r="F59" s="6" t="s">
        <v>34</v>
      </c>
      <c r="G59" s="6" t="s">
        <v>46</v>
      </c>
      <c r="H59" s="6"/>
    </row>
    <row r="60" customFormat="false" ht="15" hidden="false" customHeight="false" outlineLevel="0" collapsed="false">
      <c r="A60" s="6" t="s">
        <v>160</v>
      </c>
      <c r="B60" s="6" t="s">
        <v>161</v>
      </c>
      <c r="C60" s="7" t="n">
        <v>0.7</v>
      </c>
      <c r="D60" s="6"/>
      <c r="E60" s="6" t="s">
        <v>162</v>
      </c>
      <c r="F60" s="6" t="s">
        <v>34</v>
      </c>
      <c r="G60" s="6" t="s">
        <v>163</v>
      </c>
      <c r="H60" s="6"/>
    </row>
    <row r="61" customFormat="false" ht="15" hidden="false" customHeight="false" outlineLevel="0" collapsed="false">
      <c r="A61" s="6" t="s">
        <v>160</v>
      </c>
      <c r="B61" s="6" t="s">
        <v>164</v>
      </c>
      <c r="C61" s="7" t="n">
        <v>0.3</v>
      </c>
      <c r="D61" s="6"/>
      <c r="E61" s="6" t="s">
        <v>162</v>
      </c>
      <c r="F61" s="6" t="s">
        <v>34</v>
      </c>
      <c r="G61" s="6" t="s">
        <v>163</v>
      </c>
      <c r="H61" s="6"/>
    </row>
    <row r="62" customFormat="false" ht="15" hidden="false" customHeight="false" outlineLevel="0" collapsed="false">
      <c r="A62" s="6" t="s">
        <v>160</v>
      </c>
      <c r="B62" s="6" t="s">
        <v>165</v>
      </c>
      <c r="C62" s="8"/>
      <c r="D62" s="6" t="s">
        <v>166</v>
      </c>
      <c r="E62" s="6" t="s">
        <v>162</v>
      </c>
      <c r="F62" s="6" t="s">
        <v>40</v>
      </c>
      <c r="G62" s="6"/>
      <c r="H62" s="6" t="s">
        <v>167</v>
      </c>
    </row>
  </sheetData>
  <autoFilter ref="A1:H62"/>
  <dataValidations count="1">
    <dataValidation allowBlank="false" errorStyle="stop" operator="between" showDropDown="false" showErrorMessage="false" showInputMessage="false" sqref="F2:F62" type="list">
      <formula1>"SCOPE,VERIFY,SET,DECIDE"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39.55" hidden="false" customHeight="false" outlineLevel="0" collapsed="false">
      <c r="A1" s="5" t="s">
        <v>168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20</v>
      </c>
      <c r="K1" s="5" t="s">
        <v>177</v>
      </c>
      <c r="L1" s="5" t="s">
        <v>18</v>
      </c>
    </row>
    <row r="2" customFormat="false" ht="39.55" hidden="false" customHeight="false" outlineLevel="0" collapsed="false">
      <c r="A2" s="6" t="s">
        <v>178</v>
      </c>
      <c r="B2" s="6" t="s">
        <v>179</v>
      </c>
      <c r="C2" s="6" t="s">
        <v>180</v>
      </c>
      <c r="D2" s="6" t="s">
        <v>181</v>
      </c>
      <c r="E2" s="6"/>
      <c r="F2" s="6"/>
      <c r="G2" s="6" t="s">
        <v>182</v>
      </c>
      <c r="H2" s="6" t="s">
        <v>183</v>
      </c>
      <c r="I2" s="6" t="s">
        <v>184</v>
      </c>
      <c r="J2" s="6" t="s">
        <v>185</v>
      </c>
      <c r="K2" s="6" t="s">
        <v>186</v>
      </c>
      <c r="L2" s="6" t="s">
        <v>187</v>
      </c>
    </row>
    <row r="3" customFormat="false" ht="39.55" hidden="false" customHeight="false" outlineLevel="0" collapsed="false">
      <c r="A3" s="6" t="s">
        <v>188</v>
      </c>
      <c r="B3" s="6" t="s">
        <v>189</v>
      </c>
      <c r="C3" s="6" t="s">
        <v>190</v>
      </c>
      <c r="D3" s="6" t="s">
        <v>191</v>
      </c>
      <c r="E3" s="6"/>
      <c r="F3" s="6"/>
      <c r="G3" s="6" t="s">
        <v>192</v>
      </c>
      <c r="H3" s="6" t="s">
        <v>29</v>
      </c>
      <c r="I3" s="6" t="s">
        <v>193</v>
      </c>
      <c r="J3" s="6" t="s">
        <v>194</v>
      </c>
      <c r="K3" s="6" t="s">
        <v>186</v>
      </c>
      <c r="L3" s="6" t="s">
        <v>187</v>
      </c>
    </row>
    <row r="4" customFormat="false" ht="26.85" hidden="false" customHeight="false" outlineLevel="0" collapsed="false">
      <c r="A4" s="6" t="s">
        <v>195</v>
      </c>
      <c r="B4" s="6" t="s">
        <v>189</v>
      </c>
      <c r="C4" s="6" t="s">
        <v>196</v>
      </c>
      <c r="D4" s="6" t="s">
        <v>197</v>
      </c>
      <c r="E4" s="6"/>
      <c r="F4" s="6"/>
      <c r="G4" s="6" t="s">
        <v>198</v>
      </c>
      <c r="H4" s="6" t="s">
        <v>199</v>
      </c>
      <c r="I4" s="6"/>
      <c r="J4" s="6" t="s">
        <v>200</v>
      </c>
      <c r="K4" s="6" t="s">
        <v>186</v>
      </c>
      <c r="L4" s="6" t="s">
        <v>187</v>
      </c>
    </row>
    <row r="5" customFormat="false" ht="64.9" hidden="false" customHeight="false" outlineLevel="0" collapsed="false">
      <c r="A5" s="6" t="s">
        <v>201</v>
      </c>
      <c r="B5" s="6" t="s">
        <v>202</v>
      </c>
      <c r="C5" s="6" t="s">
        <v>203</v>
      </c>
      <c r="D5" s="6" t="s">
        <v>204</v>
      </c>
      <c r="E5" s="6"/>
      <c r="F5" s="6"/>
      <c r="G5" s="6" t="s">
        <v>205</v>
      </c>
      <c r="H5" s="6" t="s">
        <v>206</v>
      </c>
      <c r="I5" s="6"/>
      <c r="J5" s="6" t="s">
        <v>207</v>
      </c>
      <c r="K5" s="6" t="s">
        <v>208</v>
      </c>
      <c r="L5" s="6" t="s">
        <v>187</v>
      </c>
    </row>
    <row r="6" customFormat="false" ht="26.85" hidden="false" customHeight="false" outlineLevel="0" collapsed="false">
      <c r="A6" s="6" t="s">
        <v>209</v>
      </c>
      <c r="B6" s="6" t="s">
        <v>202</v>
      </c>
      <c r="C6" s="6" t="s">
        <v>210</v>
      </c>
      <c r="D6" s="6" t="s">
        <v>211</v>
      </c>
      <c r="E6" s="6"/>
      <c r="F6" s="6"/>
      <c r="G6" s="6" t="s">
        <v>205</v>
      </c>
      <c r="H6" s="6" t="s">
        <v>206</v>
      </c>
      <c r="I6" s="6"/>
      <c r="J6" s="6" t="s">
        <v>212</v>
      </c>
      <c r="K6" s="6" t="s">
        <v>213</v>
      </c>
      <c r="L6" s="6" t="s">
        <v>187</v>
      </c>
    </row>
    <row r="7" customFormat="false" ht="39.55" hidden="false" customHeight="false" outlineLevel="0" collapsed="false">
      <c r="A7" s="6" t="s">
        <v>214</v>
      </c>
      <c r="B7" s="6" t="s">
        <v>215</v>
      </c>
      <c r="C7" s="6" t="s">
        <v>216</v>
      </c>
      <c r="D7" s="6" t="s">
        <v>217</v>
      </c>
      <c r="E7" s="6"/>
      <c r="F7" s="6"/>
      <c r="G7" s="6" t="s">
        <v>218</v>
      </c>
      <c r="H7" s="6" t="s">
        <v>206</v>
      </c>
      <c r="I7" s="6"/>
      <c r="J7" s="6" t="s">
        <v>219</v>
      </c>
      <c r="K7" s="6" t="s">
        <v>220</v>
      </c>
      <c r="L7" s="6" t="s">
        <v>187</v>
      </c>
    </row>
    <row r="8" customFormat="false" ht="39.55" hidden="false" customHeight="false" outlineLevel="0" collapsed="false">
      <c r="A8" s="6" t="s">
        <v>221</v>
      </c>
      <c r="B8" s="6" t="s">
        <v>222</v>
      </c>
      <c r="C8" s="6" t="s">
        <v>223</v>
      </c>
      <c r="D8" s="6" t="s">
        <v>224</v>
      </c>
      <c r="E8" s="6"/>
      <c r="F8" s="6"/>
      <c r="G8" s="6" t="s">
        <v>225</v>
      </c>
      <c r="H8" s="6" t="s">
        <v>226</v>
      </c>
      <c r="I8" s="6"/>
      <c r="J8" s="6" t="s">
        <v>227</v>
      </c>
      <c r="K8" s="6" t="s">
        <v>208</v>
      </c>
      <c r="L8" s="6" t="s">
        <v>187</v>
      </c>
    </row>
    <row r="9" customFormat="false" ht="39.55" hidden="false" customHeight="false" outlineLevel="0" collapsed="false">
      <c r="A9" s="6" t="s">
        <v>228</v>
      </c>
      <c r="B9" s="6" t="s">
        <v>229</v>
      </c>
      <c r="C9" s="6" t="s">
        <v>230</v>
      </c>
      <c r="D9" s="6" t="s">
        <v>231</v>
      </c>
      <c r="E9" s="6"/>
      <c r="F9" s="6"/>
      <c r="G9" s="6" t="s">
        <v>182</v>
      </c>
      <c r="H9" s="6" t="s">
        <v>232</v>
      </c>
      <c r="I9" s="6"/>
      <c r="J9" s="6" t="s">
        <v>233</v>
      </c>
      <c r="K9" s="6" t="s">
        <v>234</v>
      </c>
      <c r="L9" s="6" t="s">
        <v>187</v>
      </c>
    </row>
    <row r="10" customFormat="false" ht="26.85" hidden="false" customHeight="false" outlineLevel="0" collapsed="false">
      <c r="A10" s="6" t="s">
        <v>235</v>
      </c>
      <c r="B10" s="6" t="s">
        <v>179</v>
      </c>
      <c r="C10" s="6" t="s">
        <v>236</v>
      </c>
      <c r="D10" s="6" t="s">
        <v>237</v>
      </c>
      <c r="E10" s="6"/>
      <c r="F10" s="6"/>
      <c r="G10" s="6" t="s">
        <v>182</v>
      </c>
      <c r="H10" s="6"/>
      <c r="I10" s="6"/>
      <c r="J10" s="6"/>
      <c r="K10" s="6" t="s">
        <v>208</v>
      </c>
      <c r="L10" s="6" t="s">
        <v>187</v>
      </c>
    </row>
    <row r="11" customFormat="false" ht="26.85" hidden="false" customHeight="false" outlineLevel="0" collapsed="false">
      <c r="A11" s="6" t="s">
        <v>238</v>
      </c>
      <c r="B11" s="6" t="s">
        <v>239</v>
      </c>
      <c r="C11" s="6" t="s">
        <v>240</v>
      </c>
      <c r="D11" s="6" t="s">
        <v>241</v>
      </c>
      <c r="E11" s="6"/>
      <c r="F11" s="6"/>
      <c r="G11" s="6" t="s">
        <v>242</v>
      </c>
      <c r="H11" s="6" t="s">
        <v>243</v>
      </c>
      <c r="I11" s="6"/>
      <c r="J11" s="6"/>
      <c r="K11" s="6" t="s">
        <v>234</v>
      </c>
      <c r="L11" s="6" t="s">
        <v>187</v>
      </c>
    </row>
    <row r="12" customFormat="false" ht="26.85" hidden="false" customHeight="false" outlineLevel="0" collapsed="false">
      <c r="A12" s="6" t="s">
        <v>244</v>
      </c>
      <c r="B12" s="6" t="s">
        <v>245</v>
      </c>
      <c r="C12" s="6" t="s">
        <v>246</v>
      </c>
      <c r="D12" s="6" t="s">
        <v>247</v>
      </c>
      <c r="E12" s="6"/>
      <c r="F12" s="6"/>
      <c r="G12" s="6" t="s">
        <v>248</v>
      </c>
      <c r="H12" s="6" t="s">
        <v>243</v>
      </c>
      <c r="I12" s="6"/>
      <c r="J12" s="6"/>
      <c r="K12" s="6" t="s">
        <v>234</v>
      </c>
      <c r="L12" s="6" t="s">
        <v>187</v>
      </c>
    </row>
    <row r="13" customFormat="false" ht="26.85" hidden="false" customHeight="false" outlineLevel="0" collapsed="false">
      <c r="A13" s="6" t="s">
        <v>249</v>
      </c>
      <c r="B13" s="6" t="s">
        <v>250</v>
      </c>
      <c r="C13" s="6" t="s">
        <v>251</v>
      </c>
      <c r="D13" s="6" t="s">
        <v>252</v>
      </c>
      <c r="E13" s="6"/>
      <c r="F13" s="6"/>
      <c r="G13" s="6" t="s">
        <v>225</v>
      </c>
      <c r="H13" s="6"/>
      <c r="I13" s="6"/>
      <c r="J13" s="6" t="s">
        <v>253</v>
      </c>
      <c r="K13" s="6" t="s">
        <v>234</v>
      </c>
      <c r="L13" s="6" t="s">
        <v>187</v>
      </c>
    </row>
    <row r="14" customFormat="false" ht="26.85" hidden="false" customHeight="false" outlineLevel="0" collapsed="false">
      <c r="A14" s="6" t="s">
        <v>254</v>
      </c>
      <c r="B14" s="6" t="s">
        <v>255</v>
      </c>
      <c r="C14" s="6" t="s">
        <v>256</v>
      </c>
      <c r="D14" s="6" t="s">
        <v>257</v>
      </c>
      <c r="E14" s="6"/>
      <c r="F14" s="6"/>
      <c r="G14" s="6" t="s">
        <v>182</v>
      </c>
      <c r="H14" s="6" t="s">
        <v>258</v>
      </c>
      <c r="I14" s="6"/>
      <c r="J14" s="6" t="s">
        <v>259</v>
      </c>
      <c r="K14" s="6" t="s">
        <v>234</v>
      </c>
      <c r="L14" s="6" t="s">
        <v>187</v>
      </c>
    </row>
    <row r="15" customFormat="false" ht="52.2" hidden="false" customHeight="false" outlineLevel="0" collapsed="false">
      <c r="A15" s="6" t="s">
        <v>260</v>
      </c>
      <c r="B15" s="6" t="s">
        <v>261</v>
      </c>
      <c r="C15" s="6" t="s">
        <v>262</v>
      </c>
      <c r="D15" s="6" t="s">
        <v>263</v>
      </c>
      <c r="E15" s="6"/>
      <c r="F15" s="6"/>
      <c r="G15" s="6" t="s">
        <v>225</v>
      </c>
      <c r="H15" s="6"/>
      <c r="I15" s="6"/>
      <c r="J15" s="6" t="s">
        <v>264</v>
      </c>
      <c r="K15" s="6" t="s">
        <v>234</v>
      </c>
      <c r="L15" s="6" t="s">
        <v>187</v>
      </c>
    </row>
    <row r="16" customFormat="false" ht="26.85" hidden="false" customHeight="false" outlineLevel="0" collapsed="false">
      <c r="A16" s="6" t="s">
        <v>265</v>
      </c>
      <c r="B16" s="6" t="s">
        <v>266</v>
      </c>
      <c r="C16" s="6" t="s">
        <v>267</v>
      </c>
      <c r="D16" s="6" t="s">
        <v>268</v>
      </c>
      <c r="E16" s="6"/>
      <c r="F16" s="6"/>
      <c r="G16" s="6" t="s">
        <v>182</v>
      </c>
      <c r="H16" s="6"/>
      <c r="I16" s="6"/>
      <c r="J16" s="6" t="s">
        <v>269</v>
      </c>
      <c r="K16" s="6" t="s">
        <v>220</v>
      </c>
      <c r="L16" s="6" t="s">
        <v>187</v>
      </c>
    </row>
    <row r="17" customFormat="false" ht="26.85" hidden="false" customHeight="false" outlineLevel="0" collapsed="false">
      <c r="A17" s="6" t="s">
        <v>270</v>
      </c>
      <c r="B17" s="6" t="s">
        <v>271</v>
      </c>
      <c r="C17" s="6" t="s">
        <v>272</v>
      </c>
      <c r="D17" s="6" t="s">
        <v>273</v>
      </c>
      <c r="E17" s="6"/>
      <c r="F17" s="6"/>
      <c r="G17" s="6" t="s">
        <v>182</v>
      </c>
      <c r="H17" s="6"/>
      <c r="I17" s="6"/>
      <c r="J17" s="6"/>
      <c r="K17" s="6" t="s">
        <v>220</v>
      </c>
      <c r="L17" s="6" t="s">
        <v>187</v>
      </c>
    </row>
    <row r="18" customFormat="false" ht="26.85" hidden="false" customHeight="false" outlineLevel="0" collapsed="false">
      <c r="A18" s="6" t="s">
        <v>274</v>
      </c>
      <c r="B18" s="6" t="s">
        <v>275</v>
      </c>
      <c r="C18" s="6" t="s">
        <v>276</v>
      </c>
      <c r="D18" s="6" t="s">
        <v>277</v>
      </c>
      <c r="E18" s="6"/>
      <c r="F18" s="6"/>
      <c r="G18" s="6" t="s">
        <v>182</v>
      </c>
      <c r="H18" s="6" t="s">
        <v>183</v>
      </c>
      <c r="I18" s="6"/>
      <c r="J18" s="6"/>
      <c r="K18" s="6" t="s">
        <v>220</v>
      </c>
      <c r="L18" s="6" t="s">
        <v>187</v>
      </c>
    </row>
    <row r="19" customFormat="false" ht="26.85" hidden="false" customHeight="false" outlineLevel="0" collapsed="false">
      <c r="A19" s="6" t="s">
        <v>278</v>
      </c>
      <c r="B19" s="6" t="s">
        <v>202</v>
      </c>
      <c r="C19" s="6" t="s">
        <v>279</v>
      </c>
      <c r="D19" s="6" t="s">
        <v>280</v>
      </c>
      <c r="E19" s="6"/>
      <c r="F19" s="6"/>
      <c r="G19" s="6" t="s">
        <v>281</v>
      </c>
      <c r="H19" s="6"/>
      <c r="I19" s="6"/>
      <c r="J19" s="6" t="s">
        <v>282</v>
      </c>
      <c r="K19" s="6" t="s">
        <v>220</v>
      </c>
      <c r="L19" s="6" t="s">
        <v>187</v>
      </c>
    </row>
    <row r="20" customFormat="false" ht="26.85" hidden="false" customHeight="false" outlineLevel="0" collapsed="false">
      <c r="A20" s="6" t="s">
        <v>283</v>
      </c>
      <c r="B20" s="6" t="s">
        <v>202</v>
      </c>
      <c r="C20" s="6" t="s">
        <v>284</v>
      </c>
      <c r="D20" s="6" t="s">
        <v>285</v>
      </c>
      <c r="E20" s="6"/>
      <c r="F20" s="6"/>
      <c r="G20" s="6" t="s">
        <v>225</v>
      </c>
      <c r="H20" s="6" t="s">
        <v>286</v>
      </c>
      <c r="I20" s="6"/>
      <c r="J20" s="6" t="s">
        <v>287</v>
      </c>
      <c r="K20" s="6" t="s">
        <v>213</v>
      </c>
      <c r="L20" s="6" t="s">
        <v>288</v>
      </c>
    </row>
    <row r="21" customFormat="false" ht="26.85" hidden="false" customHeight="false" outlineLevel="0" collapsed="false">
      <c r="A21" s="6" t="s">
        <v>289</v>
      </c>
      <c r="B21" s="6" t="s">
        <v>290</v>
      </c>
      <c r="C21" s="6" t="s">
        <v>291</v>
      </c>
      <c r="D21" s="6" t="s">
        <v>292</v>
      </c>
      <c r="E21" s="6"/>
      <c r="F21" s="6"/>
      <c r="G21" s="6" t="s">
        <v>293</v>
      </c>
      <c r="H21" s="6" t="s">
        <v>258</v>
      </c>
      <c r="I21" s="6"/>
      <c r="J21" s="6" t="s">
        <v>294</v>
      </c>
      <c r="K21" s="6" t="s">
        <v>213</v>
      </c>
      <c r="L21" s="6" t="s">
        <v>295</v>
      </c>
    </row>
  </sheetData>
  <autoFilter ref="A1:L21"/>
  <dataValidations count="1">
    <dataValidation allowBlank="false" errorStyle="stop" operator="between" showDropDown="false" showErrorMessage="false" showInputMessage="false" sqref="L2:L21" type="list">
      <formula1>"To download,To find,To collect,Downloaded,Not 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4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5" t="s">
        <v>296</v>
      </c>
      <c r="B1" s="5" t="s">
        <v>297</v>
      </c>
      <c r="C1" s="5" t="s">
        <v>17</v>
      </c>
      <c r="D1" s="5" t="s">
        <v>298</v>
      </c>
      <c r="E1" s="5" t="s">
        <v>299</v>
      </c>
      <c r="F1" s="5" t="s">
        <v>300</v>
      </c>
      <c r="G1" s="5" t="s">
        <v>301</v>
      </c>
      <c r="H1" s="5" t="s">
        <v>302</v>
      </c>
      <c r="I1" s="5" t="s">
        <v>18</v>
      </c>
    </row>
    <row r="2" customFormat="false" ht="26.85" hidden="false" customHeight="false" outlineLevel="0" collapsed="false">
      <c r="A2" s="6" t="s">
        <v>303</v>
      </c>
      <c r="B2" s="6" t="s">
        <v>304</v>
      </c>
      <c r="C2" s="6" t="s">
        <v>24</v>
      </c>
      <c r="D2" s="6" t="s">
        <v>305</v>
      </c>
      <c r="E2" s="6" t="s">
        <v>306</v>
      </c>
      <c r="F2" s="6" t="s">
        <v>307</v>
      </c>
      <c r="G2" s="6" t="s">
        <v>308</v>
      </c>
      <c r="H2" s="6" t="s">
        <v>309</v>
      </c>
      <c r="I2" s="6" t="s">
        <v>310</v>
      </c>
    </row>
    <row r="3" customFormat="false" ht="26.85" hidden="false" customHeight="false" outlineLevel="0" collapsed="false">
      <c r="A3" s="6" t="s">
        <v>311</v>
      </c>
      <c r="B3" s="6" t="s">
        <v>304</v>
      </c>
      <c r="C3" s="6" t="s">
        <v>24</v>
      </c>
      <c r="D3" s="6" t="s">
        <v>312</v>
      </c>
      <c r="E3" s="6" t="s">
        <v>313</v>
      </c>
      <c r="F3" s="6" t="s">
        <v>314</v>
      </c>
      <c r="G3" s="6" t="s">
        <v>315</v>
      </c>
      <c r="H3" s="6" t="s">
        <v>316</v>
      </c>
      <c r="I3" s="6" t="s">
        <v>317</v>
      </c>
    </row>
    <row r="4" customFormat="false" ht="39.55" hidden="false" customHeight="false" outlineLevel="0" collapsed="false">
      <c r="A4" s="6" t="s">
        <v>318</v>
      </c>
      <c r="B4" s="6" t="s">
        <v>304</v>
      </c>
      <c r="C4" s="6" t="s">
        <v>24</v>
      </c>
      <c r="D4" s="6" t="s">
        <v>319</v>
      </c>
      <c r="E4" s="6" t="s">
        <v>320</v>
      </c>
      <c r="F4" s="6" t="s">
        <v>321</v>
      </c>
      <c r="G4" s="6" t="s">
        <v>322</v>
      </c>
      <c r="H4" s="6" t="s">
        <v>323</v>
      </c>
      <c r="I4" s="6" t="s">
        <v>317</v>
      </c>
    </row>
    <row r="5" customFormat="false" ht="26.85" hidden="false" customHeight="false" outlineLevel="0" collapsed="false">
      <c r="A5" s="6" t="s">
        <v>324</v>
      </c>
      <c r="B5" s="6" t="s">
        <v>304</v>
      </c>
      <c r="C5" s="6" t="s">
        <v>24</v>
      </c>
      <c r="D5" s="6" t="s">
        <v>325</v>
      </c>
      <c r="E5" s="6" t="s">
        <v>326</v>
      </c>
      <c r="F5" s="6" t="s">
        <v>327</v>
      </c>
      <c r="G5" s="6" t="s">
        <v>328</v>
      </c>
      <c r="H5" s="6" t="s">
        <v>316</v>
      </c>
      <c r="I5" s="6" t="s">
        <v>317</v>
      </c>
    </row>
    <row r="6" customFormat="false" ht="26.85" hidden="false" customHeight="false" outlineLevel="0" collapsed="false">
      <c r="A6" s="6" t="s">
        <v>329</v>
      </c>
      <c r="B6" s="6" t="s">
        <v>304</v>
      </c>
      <c r="C6" s="6" t="s">
        <v>24</v>
      </c>
      <c r="D6" s="6" t="s">
        <v>330</v>
      </c>
      <c r="E6" s="6" t="s">
        <v>331</v>
      </c>
      <c r="F6" s="6" t="s">
        <v>332</v>
      </c>
      <c r="G6" s="6" t="s">
        <v>333</v>
      </c>
      <c r="H6" s="6" t="s">
        <v>334</v>
      </c>
      <c r="I6" s="6" t="s">
        <v>317</v>
      </c>
    </row>
    <row r="7" customFormat="false" ht="26.85" hidden="false" customHeight="false" outlineLevel="0" collapsed="false">
      <c r="A7" s="6" t="s">
        <v>335</v>
      </c>
      <c r="B7" s="6" t="s">
        <v>304</v>
      </c>
      <c r="C7" s="6" t="s">
        <v>90</v>
      </c>
      <c r="D7" s="6" t="s">
        <v>336</v>
      </c>
      <c r="E7" s="6" t="s">
        <v>337</v>
      </c>
      <c r="F7" s="6" t="s">
        <v>338</v>
      </c>
      <c r="G7" s="6" t="s">
        <v>339</v>
      </c>
      <c r="H7" s="6" t="s">
        <v>90</v>
      </c>
      <c r="I7" s="6" t="s">
        <v>317</v>
      </c>
    </row>
    <row r="8" customFormat="false" ht="26.85" hidden="false" customHeight="false" outlineLevel="0" collapsed="false">
      <c r="A8" s="6" t="s">
        <v>340</v>
      </c>
      <c r="B8" s="6" t="s">
        <v>304</v>
      </c>
      <c r="C8" s="6" t="s">
        <v>90</v>
      </c>
      <c r="D8" s="6" t="s">
        <v>341</v>
      </c>
      <c r="E8" s="6" t="s">
        <v>342</v>
      </c>
      <c r="F8" s="6" t="s">
        <v>343</v>
      </c>
      <c r="G8" s="6" t="s">
        <v>344</v>
      </c>
      <c r="H8" s="6" t="s">
        <v>90</v>
      </c>
      <c r="I8" s="6" t="s">
        <v>317</v>
      </c>
    </row>
    <row r="9" customFormat="false" ht="26.85" hidden="false" customHeight="false" outlineLevel="0" collapsed="false">
      <c r="A9" s="6" t="s">
        <v>345</v>
      </c>
      <c r="B9" s="6" t="s">
        <v>304</v>
      </c>
      <c r="C9" s="6" t="s">
        <v>90</v>
      </c>
      <c r="D9" s="6" t="s">
        <v>346</v>
      </c>
      <c r="E9" s="6" t="s">
        <v>347</v>
      </c>
      <c r="F9" s="6" t="s">
        <v>348</v>
      </c>
      <c r="G9" s="6" t="s">
        <v>349</v>
      </c>
      <c r="H9" s="6" t="s">
        <v>79</v>
      </c>
      <c r="I9" s="6" t="s">
        <v>317</v>
      </c>
    </row>
    <row r="10" customFormat="false" ht="26.85" hidden="false" customHeight="false" outlineLevel="0" collapsed="false">
      <c r="A10" s="6" t="s">
        <v>350</v>
      </c>
      <c r="B10" s="6" t="s">
        <v>304</v>
      </c>
      <c r="C10" s="6" t="s">
        <v>45</v>
      </c>
      <c r="D10" s="6" t="s">
        <v>351</v>
      </c>
      <c r="E10" s="6" t="s">
        <v>352</v>
      </c>
      <c r="F10" s="6" t="s">
        <v>353</v>
      </c>
      <c r="G10" s="6" t="s">
        <v>354</v>
      </c>
      <c r="H10" s="6" t="s">
        <v>45</v>
      </c>
      <c r="I10" s="6" t="s">
        <v>317</v>
      </c>
    </row>
    <row r="11" customFormat="false" ht="26.85" hidden="false" customHeight="false" outlineLevel="0" collapsed="false">
      <c r="A11" s="6" t="s">
        <v>355</v>
      </c>
      <c r="B11" s="6" t="s">
        <v>304</v>
      </c>
      <c r="C11" s="6" t="s">
        <v>45</v>
      </c>
      <c r="D11" s="6" t="s">
        <v>356</v>
      </c>
      <c r="E11" s="6" t="s">
        <v>357</v>
      </c>
      <c r="F11" s="6" t="s">
        <v>358</v>
      </c>
      <c r="G11" s="6" t="s">
        <v>359</v>
      </c>
      <c r="H11" s="6" t="s">
        <v>45</v>
      </c>
      <c r="I11" s="6" t="s">
        <v>317</v>
      </c>
    </row>
    <row r="12" customFormat="false" ht="26.85" hidden="false" customHeight="false" outlineLevel="0" collapsed="false">
      <c r="A12" s="6" t="s">
        <v>360</v>
      </c>
      <c r="B12" s="6" t="s">
        <v>304</v>
      </c>
      <c r="C12" s="6" t="s">
        <v>361</v>
      </c>
      <c r="D12" s="6" t="s">
        <v>362</v>
      </c>
      <c r="E12" s="6" t="s">
        <v>363</v>
      </c>
      <c r="F12" s="6" t="s">
        <v>364</v>
      </c>
      <c r="G12" s="6" t="s">
        <v>365</v>
      </c>
      <c r="H12" s="6" t="s">
        <v>361</v>
      </c>
      <c r="I12" s="6" t="s">
        <v>317</v>
      </c>
    </row>
    <row r="13" customFormat="false" ht="26.85" hidden="false" customHeight="false" outlineLevel="0" collapsed="false">
      <c r="A13" s="6" t="s">
        <v>366</v>
      </c>
      <c r="B13" s="6" t="s">
        <v>304</v>
      </c>
      <c r="C13" s="6" t="s">
        <v>127</v>
      </c>
      <c r="D13" s="6" t="s">
        <v>367</v>
      </c>
      <c r="E13" s="6" t="s">
        <v>368</v>
      </c>
      <c r="F13" s="6" t="s">
        <v>369</v>
      </c>
      <c r="G13" s="6" t="s">
        <v>370</v>
      </c>
      <c r="H13" s="6" t="s">
        <v>127</v>
      </c>
      <c r="I13" s="6" t="s">
        <v>317</v>
      </c>
    </row>
    <row r="14" customFormat="false" ht="26.85" hidden="false" customHeight="false" outlineLevel="0" collapsed="false">
      <c r="A14" s="6" t="s">
        <v>371</v>
      </c>
      <c r="B14" s="6" t="s">
        <v>304</v>
      </c>
      <c r="C14" s="6" t="s">
        <v>127</v>
      </c>
      <c r="D14" s="6" t="s">
        <v>372</v>
      </c>
      <c r="E14" s="6" t="s">
        <v>373</v>
      </c>
      <c r="F14" s="6" t="s">
        <v>374</v>
      </c>
      <c r="G14" s="6"/>
      <c r="H14" s="6" t="s">
        <v>127</v>
      </c>
      <c r="I14" s="6" t="s">
        <v>317</v>
      </c>
    </row>
    <row r="15" customFormat="false" ht="26.85" hidden="false" customHeight="false" outlineLevel="0" collapsed="false">
      <c r="A15" s="6" t="s">
        <v>375</v>
      </c>
      <c r="B15" s="6" t="s">
        <v>304</v>
      </c>
      <c r="C15" s="6" t="s">
        <v>162</v>
      </c>
      <c r="D15" s="6" t="s">
        <v>376</v>
      </c>
      <c r="E15" s="6" t="s">
        <v>377</v>
      </c>
      <c r="F15" s="6" t="s">
        <v>378</v>
      </c>
      <c r="G15" s="6" t="s">
        <v>379</v>
      </c>
      <c r="H15" s="6" t="s">
        <v>162</v>
      </c>
      <c r="I15" s="6" t="s">
        <v>317</v>
      </c>
    </row>
    <row r="16" customFormat="false" ht="39.55" hidden="false" customHeight="false" outlineLevel="0" collapsed="false">
      <c r="A16" s="6" t="s">
        <v>380</v>
      </c>
      <c r="B16" s="6" t="s">
        <v>304</v>
      </c>
      <c r="C16" s="6" t="s">
        <v>45</v>
      </c>
      <c r="D16" s="6" t="s">
        <v>381</v>
      </c>
      <c r="E16" s="6" t="s">
        <v>382</v>
      </c>
      <c r="F16" s="6" t="s">
        <v>383</v>
      </c>
      <c r="G16" s="6" t="s">
        <v>384</v>
      </c>
      <c r="H16" s="6" t="s">
        <v>45</v>
      </c>
      <c r="I16" s="6" t="s">
        <v>317</v>
      </c>
    </row>
  </sheetData>
  <autoFilter ref="A1:I16"/>
  <dataValidations count="1">
    <dataValidation allowBlank="false" errorStyle="stop" operator="between" showDropDown="false" showErrorMessage="false" showInputMessage="false" sqref="I2:I216" type="list">
      <formula1>"Proposed,Accepted,Changed"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5" t="s">
        <v>385</v>
      </c>
      <c r="B1" s="5" t="s">
        <v>386</v>
      </c>
      <c r="C1" s="5" t="s">
        <v>387</v>
      </c>
      <c r="D1" s="5" t="s">
        <v>388</v>
      </c>
      <c r="E1" s="5" t="s">
        <v>389</v>
      </c>
      <c r="F1" s="5" t="s">
        <v>390</v>
      </c>
      <c r="G1" s="5" t="s">
        <v>391</v>
      </c>
      <c r="H1" s="5" t="s">
        <v>392</v>
      </c>
      <c r="I1" s="5" t="s">
        <v>393</v>
      </c>
    </row>
    <row r="2" customFormat="false" ht="15" hidden="false" customHeight="false" outlineLevel="0" collapsed="false">
      <c r="A2" s="6" t="s">
        <v>394</v>
      </c>
      <c r="B2" s="6"/>
      <c r="C2" s="6" t="s">
        <v>395</v>
      </c>
      <c r="D2" s="6" t="s">
        <v>396</v>
      </c>
      <c r="E2" s="6" t="s">
        <v>397</v>
      </c>
      <c r="F2" s="6"/>
      <c r="G2" s="6"/>
      <c r="H2" s="6"/>
      <c r="I2" s="6"/>
    </row>
    <row r="3" customFormat="false" ht="15" hidden="false" customHeight="false" outlineLevel="0" collapsed="false">
      <c r="A3" s="6" t="s">
        <v>398</v>
      </c>
      <c r="B3" s="6"/>
      <c r="C3" s="6" t="s">
        <v>395</v>
      </c>
      <c r="D3" s="6" t="s">
        <v>399</v>
      </c>
      <c r="E3" s="6" t="s">
        <v>400</v>
      </c>
      <c r="F3" s="6"/>
      <c r="G3" s="6"/>
      <c r="H3" s="6"/>
      <c r="I3" s="6"/>
    </row>
    <row r="4" customFormat="false" ht="15" hidden="false" customHeight="false" outlineLevel="0" collapsed="false">
      <c r="A4" s="6" t="s">
        <v>401</v>
      </c>
      <c r="B4" s="6"/>
      <c r="C4" s="6" t="s">
        <v>395</v>
      </c>
      <c r="D4" s="6" t="s">
        <v>402</v>
      </c>
      <c r="E4" s="6" t="s">
        <v>400</v>
      </c>
      <c r="F4" s="6"/>
      <c r="G4" s="6"/>
      <c r="H4" s="6"/>
      <c r="I4" s="6"/>
    </row>
    <row r="5" customFormat="false" ht="15" hidden="false" customHeight="false" outlineLevel="0" collapsed="false">
      <c r="A5" s="6" t="s">
        <v>403</v>
      </c>
      <c r="B5" s="6"/>
      <c r="C5" s="6" t="s">
        <v>325</v>
      </c>
      <c r="D5" s="6" t="s">
        <v>404</v>
      </c>
      <c r="E5" s="6" t="s">
        <v>400</v>
      </c>
      <c r="F5" s="6"/>
      <c r="G5" s="6"/>
      <c r="H5" s="6"/>
      <c r="I5" s="6"/>
    </row>
    <row r="6" customFormat="false" ht="26.85" hidden="false" customHeight="false" outlineLevel="0" collapsed="false">
      <c r="A6" s="6" t="s">
        <v>405</v>
      </c>
      <c r="B6" s="6"/>
      <c r="C6" s="6" t="s">
        <v>73</v>
      </c>
      <c r="D6" s="6" t="s">
        <v>406</v>
      </c>
      <c r="E6" s="6" t="s">
        <v>407</v>
      </c>
      <c r="F6" s="6"/>
      <c r="G6" s="6"/>
      <c r="H6" s="6"/>
      <c r="I6" s="6"/>
    </row>
    <row r="7" customFormat="false" ht="15" hidden="false" customHeight="false" outlineLevel="0" collapsed="false">
      <c r="A7" s="6" t="s">
        <v>408</v>
      </c>
      <c r="B7" s="6"/>
      <c r="C7" s="6" t="s">
        <v>73</v>
      </c>
      <c r="D7" s="6" t="s">
        <v>409</v>
      </c>
      <c r="E7" s="6" t="s">
        <v>410</v>
      </c>
      <c r="F7" s="6"/>
      <c r="G7" s="6"/>
      <c r="H7" s="6"/>
      <c r="I7" s="6"/>
    </row>
    <row r="8" customFormat="false" ht="15" hidden="false" customHeight="false" outlineLevel="0" collapsed="false">
      <c r="A8" s="6" t="s">
        <v>411</v>
      </c>
      <c r="B8" s="6"/>
      <c r="C8" s="6" t="s">
        <v>118</v>
      </c>
      <c r="D8" s="6" t="s">
        <v>412</v>
      </c>
      <c r="E8" s="6" t="s">
        <v>413</v>
      </c>
      <c r="F8" s="6"/>
      <c r="G8" s="6"/>
      <c r="H8" s="6"/>
      <c r="I8" s="6"/>
    </row>
    <row r="9" customFormat="false" ht="15" hidden="false" customHeight="false" outlineLevel="0" collapsed="false">
      <c r="A9" s="6" t="s">
        <v>414</v>
      </c>
      <c r="B9" s="6"/>
      <c r="C9" s="6" t="s">
        <v>415</v>
      </c>
      <c r="D9" s="6" t="s">
        <v>416</v>
      </c>
      <c r="E9" s="6" t="s">
        <v>413</v>
      </c>
      <c r="F9" s="6"/>
      <c r="G9" s="6"/>
      <c r="H9" s="6"/>
      <c r="I9" s="6"/>
    </row>
    <row r="10" customFormat="false" ht="15" hidden="false" customHeight="false" outlineLevel="0" collapsed="false">
      <c r="A10" s="6" t="s">
        <v>417</v>
      </c>
      <c r="B10" s="6"/>
      <c r="C10" s="6" t="s">
        <v>418</v>
      </c>
      <c r="D10" s="6" t="s">
        <v>419</v>
      </c>
      <c r="E10" s="6" t="s">
        <v>397</v>
      </c>
      <c r="F10" s="6"/>
      <c r="G10" s="6"/>
      <c r="H10" s="6"/>
      <c r="I10" s="6"/>
    </row>
    <row r="11" customFormat="false" ht="15" hidden="false" customHeight="false" outlineLevel="0" collapsed="false">
      <c r="A11" s="6" t="s">
        <v>420</v>
      </c>
      <c r="B11" s="6"/>
      <c r="C11" s="6" t="s">
        <v>421</v>
      </c>
      <c r="D11" s="6" t="s">
        <v>422</v>
      </c>
      <c r="E11" s="6" t="s">
        <v>407</v>
      </c>
      <c r="F11" s="6"/>
      <c r="G11" s="6"/>
      <c r="H11" s="6"/>
      <c r="I11" s="6"/>
    </row>
    <row r="12" customFormat="false" ht="15" hidden="false" customHeight="false" outlineLevel="0" collapsed="false">
      <c r="A12" s="6" t="s">
        <v>423</v>
      </c>
      <c r="B12" s="6"/>
      <c r="C12" s="6" t="s">
        <v>125</v>
      </c>
      <c r="D12" s="6" t="s">
        <v>424</v>
      </c>
      <c r="E12" s="6" t="s">
        <v>425</v>
      </c>
      <c r="F12" s="6"/>
      <c r="G12" s="6"/>
      <c r="H12" s="6"/>
      <c r="I12" s="6"/>
    </row>
    <row r="13" customFormat="false" ht="15" hidden="false" customHeight="false" outlineLevel="0" collapsed="false">
      <c r="A13" s="6" t="s">
        <v>426</v>
      </c>
      <c r="B13" s="6"/>
      <c r="C13" s="6" t="s">
        <v>427</v>
      </c>
      <c r="D13" s="6" t="s">
        <v>428</v>
      </c>
      <c r="E13" s="6" t="s">
        <v>397</v>
      </c>
      <c r="F13" s="6"/>
      <c r="G13" s="6"/>
      <c r="H13" s="6"/>
      <c r="I13" s="6"/>
    </row>
    <row r="14" customFormat="false" ht="15" hidden="false" customHeight="false" outlineLevel="0" collapsed="false">
      <c r="A14" s="6" t="s">
        <v>429</v>
      </c>
      <c r="B14" s="6"/>
      <c r="C14" s="6" t="s">
        <v>430</v>
      </c>
      <c r="D14" s="6" t="s">
        <v>431</v>
      </c>
      <c r="E14" s="6" t="s">
        <v>397</v>
      </c>
      <c r="F14" s="6"/>
      <c r="G14" s="6"/>
      <c r="H14" s="6"/>
      <c r="I14" s="6"/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2026-09-24T16:00:28Z</dcterms:created>
  <dc:creator>openpyxl</dc:creator>
  <dc:description/>
  <dc:language>en-US</dc:language>
  <cp:lastModifiedBy/>
  <dcterms:modified xsi:type="dcterms:W3CDTF">2026-09-24T16:00:28Z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